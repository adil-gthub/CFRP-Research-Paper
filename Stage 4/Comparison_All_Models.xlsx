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eea23554fbe8de0/Desktop/Stage 4/"/>
    </mc:Choice>
  </mc:AlternateContent>
  <xr:revisionPtr revIDLastSave="19" documentId="11_1EEAED9270D7B303C397725F463C893F59A22413" xr6:coauthVersionLast="47" xr6:coauthVersionMax="47" xr10:uidLastSave="{273AC5CA-4184-4404-BEF5-AA9334D84F5E}"/>
  <bookViews>
    <workbookView xWindow="-120" yWindow="-120" windowWidth="29040" windowHeight="15720" tabRatio="500" activeTab="1" xr2:uid="{00000000-000D-0000-FFFF-FFFF00000000}"/>
  </bookViews>
  <sheets>
    <sheet name="Summary" sheetId="1" r:id="rId1"/>
    <sheet name="Hysteresis" sheetId="2" r:id="rId2"/>
    <sheet name="Envelopes" sheetId="3" r:id="rId3"/>
    <sheet name="Stiffness" sheetId="4" r:id="rId4"/>
    <sheet name="CapacityCurv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B16" i="1"/>
  <c r="A16" i="1"/>
  <c r="C15" i="1"/>
  <c r="B15" i="1"/>
  <c r="A15" i="1"/>
  <c r="C14" i="1"/>
  <c r="B14" i="1"/>
  <c r="A14" i="1"/>
  <c r="C13" i="1"/>
  <c r="B13" i="1"/>
  <c r="A13" i="1"/>
  <c r="F8" i="1"/>
  <c r="F7" i="1"/>
  <c r="F6" i="1"/>
  <c r="F5" i="1"/>
</calcChain>
</file>

<file path=xl/sharedStrings.xml><?xml version="1.0" encoding="utf-8"?>
<sst xmlns="http://schemas.openxmlformats.org/spreadsheetml/2006/main" count="56" uniqueCount="55">
  <si>
    <t>4-Model Cyclic Pushover Comparison</t>
  </si>
  <si>
    <t>M1 = Original (M30) · M2 = Degraded (M20+15%Ascorr) · M3 = CFRP GF-only · M4 = CFRP Full building</t>
  </si>
  <si>
    <t>Model</t>
  </si>
  <si>
    <t>Peak +V (kN)</t>
  </si>
  <si>
    <t>Peak -V (kN)</t>
  </si>
  <si>
    <t>Disp @ peak +V (mm)</t>
  </si>
  <si>
    <t>Disp @ peak -V (mm)</t>
  </si>
  <si>
    <t>Top-storey drift @ +V peak (%)</t>
  </si>
  <si>
    <t>Initial secant K (kN/mm)</t>
  </si>
  <si>
    <t>Ultimate disp (mm)</t>
  </si>
  <si>
    <t>Notes</t>
  </si>
  <si>
    <t>Roof height (mm):</t>
  </si>
  <si>
    <t>M1_Original_RCC</t>
  </si>
  <si>
    <t>M30 conc, full As, Mander confined core</t>
  </si>
  <si>
    <t>M2_Degraded_RCC</t>
  </si>
  <si>
    <t>M20 conc, As × 0.85, Mander confined core</t>
  </si>
  <si>
    <t>M3_CFRP_GF</t>
  </si>
  <si>
    <t>M20 base + CFRP wrap GF cols + GF beam laminate</t>
  </si>
  <si>
    <t>M4_CFRP_Full</t>
  </si>
  <si>
    <t>M20 base + CFRP wrap ALL cols + ALL beams laminated</t>
  </si>
  <si>
    <t>Relative comparison (vs M1)</t>
  </si>
  <si>
    <t>Peak +V / M1 +V</t>
  </si>
  <si>
    <t>Initial K / M1 K</t>
  </si>
  <si>
    <t>M1_Original_RCC: Disp (mm)</t>
  </si>
  <si>
    <t>M1_Original_RCC: Shear (kN)</t>
  </si>
  <si>
    <t>M2_Degraded_RCC: Disp (mm)</t>
  </si>
  <si>
    <t>M2_Degraded_RCC: Shear (kN)</t>
  </si>
  <si>
    <t>M3_CFRP_GF: Disp (mm)</t>
  </si>
  <si>
    <t>M3_CFRP_GF: Shear (kN)</t>
  </si>
  <si>
    <t>M4_CFRP_Full: Disp (mm)</t>
  </si>
  <si>
    <t>M4_CFRP_Full: Shear (kN)</t>
  </si>
  <si>
    <t>M1_Original_RCC: Env-Disp (mm)</t>
  </si>
  <si>
    <t>M1_Original_RCC: Env-Shear (kN)</t>
  </si>
  <si>
    <t>M2_Degraded_RCC: Env-Disp (mm)</t>
  </si>
  <si>
    <t>M2_Degraded_RCC: Env-Shear (kN)</t>
  </si>
  <si>
    <t>M3_CFRP_GF: Env-Disp (mm)</t>
  </si>
  <si>
    <t>M3_CFRP_GF: Env-Shear (kN)</t>
  </si>
  <si>
    <t>M4_CFRP_Full: Env-Disp (mm)</t>
  </si>
  <si>
    <t>M4_CFRP_Full: Env-Shear (kN)</t>
  </si>
  <si>
    <t>M1_Original_RCC: |Disp| (mm)</t>
  </si>
  <si>
    <t>M1_Original_RCC: Secant K (kN/mm)</t>
  </si>
  <si>
    <t>M2_Degraded_RCC: |Disp| (mm)</t>
  </si>
  <si>
    <t>M2_Degraded_RCC: Secant K (kN/mm)</t>
  </si>
  <si>
    <t>M3_CFRP_GF: |Disp| (mm)</t>
  </si>
  <si>
    <t>M3_CFRP_GF: Secant K (kN/mm)</t>
  </si>
  <si>
    <t>M4_CFRP_Full: |Disp| (mm)</t>
  </si>
  <si>
    <t>M4_CFRP_Full: Secant K (kN/mm)</t>
  </si>
  <si>
    <t>M1_Original_RCC: Top Disp (mm)</t>
  </si>
  <si>
    <t>M1_Original_RCC: Load (kN)</t>
  </si>
  <si>
    <t>M2_Degraded_RCC: Top Disp (mm)</t>
  </si>
  <si>
    <t>M2_Degraded_RCC: Load (kN)</t>
  </si>
  <si>
    <t>M3_CFRP_GF: Top Disp (mm)</t>
  </si>
  <si>
    <t>M3_CFRP_GF: Load (kN)</t>
  </si>
  <si>
    <t>M4_CFRP_Full: Top Disp (mm)</t>
  </si>
  <si>
    <t>M4_CFRP_Full: Load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</si>
</sst>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2"/>
      <name val="Arial"/>
      <charset val="1"/>
    </font>
    <font>
      <sz val="11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6" fillId="0" borderId="0" xfId="0" applyFont="1"/>
    <xf numFmtId="164" fontId="4" fillId="0" borderId="0" xfId="0" applyNumberFormat="1" applyFont="1"/>
    <xf numFmtId="165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Envelopes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Envelopes!$A$2:$A$7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Envelopes!$B$2:$B$7</c:f>
              <c:numCache>
                <c:formatCode>0.000</c:formatCode>
                <c:ptCount val="6"/>
                <c:pt idx="0">
                  <c:v>-1513.1832030242299</c:v>
                </c:pt>
                <c:pt idx="1">
                  <c:v>-674.15323293532003</c:v>
                </c:pt>
                <c:pt idx="2">
                  <c:v>-169.659064670042</c:v>
                </c:pt>
                <c:pt idx="3">
                  <c:v>168.62127273173601</c:v>
                </c:pt>
                <c:pt idx="4">
                  <c:v>669.52329876875694</c:v>
                </c:pt>
                <c:pt idx="5">
                  <c:v>1508.4473834876801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15-4CAF-96B7-9A5EA7A6288B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Envelopes!$C$2:$C$7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Envelopes!$D$2:$D$7</c:f>
              <c:numCache>
                <c:formatCode>0.000</c:formatCode>
                <c:ptCount val="6"/>
                <c:pt idx="0">
                  <c:v>-1099.41943540948</c:v>
                </c:pt>
                <c:pt idx="1">
                  <c:v>-471.79600431509698</c:v>
                </c:pt>
                <c:pt idx="2">
                  <c:v>-118.408930830722</c:v>
                </c:pt>
                <c:pt idx="3">
                  <c:v>117.437942878884</c:v>
                </c:pt>
                <c:pt idx="4">
                  <c:v>467.85105389715397</c:v>
                </c:pt>
                <c:pt idx="5">
                  <c:v>1093.93229669568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5-4CAF-96B7-9A5EA7A6288B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Envelopes!$E$2:$E$7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Envelopes!$F$2:$F$7</c:f>
              <c:numCache>
                <c:formatCode>0.000</c:formatCode>
                <c:ptCount val="6"/>
                <c:pt idx="0">
                  <c:v>-1131.1623943043201</c:v>
                </c:pt>
                <c:pt idx="1">
                  <c:v>-486.26939754943999</c:v>
                </c:pt>
                <c:pt idx="2">
                  <c:v>-122.045669611896</c:v>
                </c:pt>
                <c:pt idx="3">
                  <c:v>121.14432285053999</c:v>
                </c:pt>
                <c:pt idx="4">
                  <c:v>482.50485938243401</c:v>
                </c:pt>
                <c:pt idx="5">
                  <c:v>1125.74402524059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15-4CAF-96B7-9A5EA7A6288B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Envelopes!$G$2:$G$7</c:f>
              <c:numCache>
                <c:formatCode>0.000</c:formatCode>
                <c:ptCount val="6"/>
                <c:pt idx="0">
                  <c:v>-20</c:v>
                </c:pt>
                <c:pt idx="1">
                  <c:v>-8</c:v>
                </c:pt>
                <c:pt idx="2">
                  <c:v>-2</c:v>
                </c:pt>
                <c:pt idx="3">
                  <c:v>2</c:v>
                </c:pt>
                <c:pt idx="4">
                  <c:v>8</c:v>
                </c:pt>
                <c:pt idx="5">
                  <c:v>20</c:v>
                </c:pt>
              </c:numCache>
            </c:numRef>
          </c:xVal>
          <c:yVal>
            <c:numRef>
              <c:f>Envelopes!$H$2:$H$7</c:f>
              <c:numCache>
                <c:formatCode>0.000</c:formatCode>
                <c:ptCount val="6"/>
                <c:pt idx="0">
                  <c:v>-1205.7462643899601</c:v>
                </c:pt>
                <c:pt idx="1">
                  <c:v>-519.49495237399196</c:v>
                </c:pt>
                <c:pt idx="2">
                  <c:v>-130.410419685942</c:v>
                </c:pt>
                <c:pt idx="3">
                  <c:v>129.559682956491</c:v>
                </c:pt>
                <c:pt idx="4">
                  <c:v>515.79257874989605</c:v>
                </c:pt>
                <c:pt idx="5">
                  <c:v>1200.29940937627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15-4CAF-96B7-9A5EA7A62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47153"/>
        <c:axId val="3551437"/>
      </c:scatterChart>
      <c:valAx>
        <c:axId val="227471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51437"/>
        <c:crosses val="autoZero"/>
        <c:crossBetween val="midCat"/>
      </c:valAx>
      <c:valAx>
        <c:axId val="3551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4715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Stiffness Degradation — All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Stiffness!$A$2:$A$4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Stiffness!$B$2:$B$4</c:f>
              <c:numCache>
                <c:formatCode>General</c:formatCode>
                <c:ptCount val="3"/>
                <c:pt idx="0">
                  <c:v>84.310636365868007</c:v>
                </c:pt>
                <c:pt idx="1">
                  <c:v>83.690412346094604</c:v>
                </c:pt>
                <c:pt idx="2">
                  <c:v>75.422369174383704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A8-4F8A-813A-30998CBFE375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Stiffness!$D$2:$D$4</c:f>
              <c:numCache>
                <c:formatCode>General</c:formatCode>
                <c:ptCount val="3"/>
                <c:pt idx="0">
                  <c:v>58.718971439441802</c:v>
                </c:pt>
                <c:pt idx="1">
                  <c:v>58.481381737144197</c:v>
                </c:pt>
                <c:pt idx="2">
                  <c:v>54.696614834784199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A8-4F8A-813A-30998CBFE375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Stiffness!$F$2:$F$4</c:f>
              <c:numCache>
                <c:formatCode>General</c:formatCode>
                <c:ptCount val="3"/>
                <c:pt idx="0">
                  <c:v>60.572161425270103</c:v>
                </c:pt>
                <c:pt idx="1">
                  <c:v>60.3131074228043</c:v>
                </c:pt>
                <c:pt idx="2">
                  <c:v>56.287201262029498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A8-4F8A-813A-30998CBFE375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Stiffness!$G$2:$G$4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Stiffness!$H$2:$H$4</c:f>
              <c:numCache>
                <c:formatCode>General</c:formatCode>
                <c:ptCount val="3"/>
                <c:pt idx="0">
                  <c:v>64.7798414782457</c:v>
                </c:pt>
                <c:pt idx="1">
                  <c:v>64.474072343737006</c:v>
                </c:pt>
                <c:pt idx="2">
                  <c:v>60.014970468813402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A8-4F8A-813A-30998CBFE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05025"/>
        <c:axId val="87219817"/>
      </c:scatterChart>
      <c:valAx>
        <c:axId val="734050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219817"/>
        <c:crosses val="autoZero"/>
        <c:crossBetween val="midCat"/>
      </c:valAx>
      <c:valAx>
        <c:axId val="87219817"/>
        <c:scaling>
          <c:orientation val="minMax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Secant Stiffness (kN/mm)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4050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Capacity Curve — Load vs Top-Storey Displacement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M1_Original_RCC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CapacityCurve!$A$2:$A$4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CapacityCurve!$B$2:$B$4</c:f>
              <c:numCache>
                <c:formatCode>General</c:formatCode>
                <c:ptCount val="3"/>
                <c:pt idx="0">
                  <c:v>168.62127273173601</c:v>
                </c:pt>
                <c:pt idx="1">
                  <c:v>669.52329876875694</c:v>
                </c:pt>
                <c:pt idx="2">
                  <c:v>1508.4473834876801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2F-432D-8C94-D8BCC697BB3D}"/>
            </c:ext>
          </c:extLst>
        </c:ser>
        <c:ser>
          <c:idx val="1"/>
          <c:order val="1"/>
          <c:tx>
            <c:v>M2_Degraded_RCC</c:v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CapacityCurve!$C$2:$C$4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CapacityCurve!$D$2:$D$4</c:f>
              <c:numCache>
                <c:formatCode>General</c:formatCode>
                <c:ptCount val="3"/>
                <c:pt idx="0">
                  <c:v>117.437942878884</c:v>
                </c:pt>
                <c:pt idx="1">
                  <c:v>467.85105389715397</c:v>
                </c:pt>
                <c:pt idx="2">
                  <c:v>1093.93229669568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2F-432D-8C94-D8BCC697BB3D}"/>
            </c:ext>
          </c:extLst>
        </c:ser>
        <c:ser>
          <c:idx val="2"/>
          <c:order val="2"/>
          <c:tx>
            <c:v>M3_CFRP_GF</c:v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CapacityCurve!$E$2:$E$4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CapacityCurve!$F$2:$F$4</c:f>
              <c:numCache>
                <c:formatCode>General</c:formatCode>
                <c:ptCount val="3"/>
                <c:pt idx="0">
                  <c:v>121.14432285053999</c:v>
                </c:pt>
                <c:pt idx="1">
                  <c:v>482.50485938243401</c:v>
                </c:pt>
                <c:pt idx="2">
                  <c:v>1125.74402524059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2F-432D-8C94-D8BCC697BB3D}"/>
            </c:ext>
          </c:extLst>
        </c:ser>
        <c:ser>
          <c:idx val="3"/>
          <c:order val="3"/>
          <c:tx>
            <c:v>M4_CFRP_Full</c:v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CapacityCurve!$G$2:$G$4</c:f>
              <c:numCache>
                <c:formatCode>General</c:formatCode>
                <c:ptCount val="3"/>
                <c:pt idx="0">
                  <c:v>2</c:v>
                </c:pt>
                <c:pt idx="1">
                  <c:v>8</c:v>
                </c:pt>
                <c:pt idx="2">
                  <c:v>20</c:v>
                </c:pt>
              </c:numCache>
            </c:numRef>
          </c:xVal>
          <c:yVal>
            <c:numRef>
              <c:f>CapacityCurve!$H$2:$H$4</c:f>
              <c:numCache>
                <c:formatCode>General</c:formatCode>
                <c:ptCount val="3"/>
                <c:pt idx="0">
                  <c:v>129.559682956491</c:v>
                </c:pt>
                <c:pt idx="1">
                  <c:v>515.79257874989605</c:v>
                </c:pt>
                <c:pt idx="2">
                  <c:v>1200.29940937627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2F-432D-8C94-D8BCC697B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46539"/>
        <c:axId val="42393664"/>
      </c:scatterChart>
      <c:valAx>
        <c:axId val="525465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Top-Storey Displacement (mm)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93664"/>
        <c:crosses val="autoZero"/>
        <c:crossBetween val="midCat"/>
      </c:valAx>
      <c:valAx>
        <c:axId val="423936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Lateral Load (kN)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4653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23</xdr:col>
      <xdr:colOff>581760</xdr:colOff>
      <xdr:row>23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0</xdr:row>
      <xdr:rowOff>171450</xdr:rowOff>
    </xdr:from>
    <xdr:to>
      <xdr:col>21</xdr:col>
      <xdr:colOff>419475</xdr:colOff>
      <xdr:row>21</xdr:row>
      <xdr:rowOff>147570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25</xdr:col>
      <xdr:colOff>78480</xdr:colOff>
      <xdr:row>27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zoomScaleNormal="100" workbookViewId="0">
      <selection sqref="A1:I1"/>
    </sheetView>
  </sheetViews>
  <sheetFormatPr defaultColWidth="8.7109375" defaultRowHeight="15" x14ac:dyDescent="0.25"/>
  <cols>
    <col min="1" max="1" width="18" customWidth="1"/>
    <col min="2" max="2" width="17.28515625" bestFit="1" customWidth="1"/>
    <col min="3" max="3" width="15.5703125" bestFit="1" customWidth="1"/>
    <col min="4" max="4" width="22.7109375" bestFit="1" customWidth="1"/>
    <col min="5" max="5" width="22.140625" bestFit="1" customWidth="1"/>
    <col min="6" max="6" width="32.5703125" bestFit="1" customWidth="1"/>
    <col min="7" max="7" width="25" bestFit="1" customWidth="1"/>
    <col min="8" max="8" width="19.85546875" bestFit="1" customWidth="1"/>
    <col min="9" max="9" width="56.140625" bestFit="1" customWidth="1"/>
  </cols>
  <sheetData>
    <row r="1" spans="1:12" ht="18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12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12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t="s">
        <v>11</v>
      </c>
      <c r="L4" s="4">
        <v>17500</v>
      </c>
    </row>
    <row r="5" spans="1:12" x14ac:dyDescent="0.25">
      <c r="A5" s="5" t="s">
        <v>12</v>
      </c>
      <c r="B5" s="6">
        <v>1508.4473834876801</v>
      </c>
      <c r="C5" s="6">
        <v>-1513.1832030242299</v>
      </c>
      <c r="D5" s="6">
        <v>20</v>
      </c>
      <c r="E5" s="6">
        <v>-20</v>
      </c>
      <c r="F5" s="7">
        <f>D5/$L$4*100</f>
        <v>0.1142857142857143</v>
      </c>
      <c r="G5" s="6">
        <v>84.310636365868007</v>
      </c>
      <c r="H5" s="6">
        <v>20</v>
      </c>
      <c r="I5" s="5" t="s">
        <v>13</v>
      </c>
    </row>
    <row r="6" spans="1:12" x14ac:dyDescent="0.25">
      <c r="A6" s="5" t="s">
        <v>14</v>
      </c>
      <c r="B6" s="6">
        <v>1093.93229669568</v>
      </c>
      <c r="C6" s="6">
        <v>-1099.41943540948</v>
      </c>
      <c r="D6" s="6">
        <v>20</v>
      </c>
      <c r="E6" s="6">
        <v>-20</v>
      </c>
      <c r="F6" s="7">
        <f>D6/$L$4*100</f>
        <v>0.1142857142857143</v>
      </c>
      <c r="G6" s="6">
        <v>58.718971439441802</v>
      </c>
      <c r="H6" s="6">
        <v>20</v>
      </c>
      <c r="I6" s="5" t="s">
        <v>15</v>
      </c>
    </row>
    <row r="7" spans="1:12" x14ac:dyDescent="0.25">
      <c r="A7" s="5" t="s">
        <v>16</v>
      </c>
      <c r="B7" s="6">
        <v>1125.74402524059</v>
      </c>
      <c r="C7" s="6">
        <v>-1131.1623943043201</v>
      </c>
      <c r="D7" s="6">
        <v>20</v>
      </c>
      <c r="E7" s="6">
        <v>-20</v>
      </c>
      <c r="F7" s="7">
        <f>D7/$L$4*100</f>
        <v>0.1142857142857143</v>
      </c>
      <c r="G7" s="6">
        <v>60.572161425270103</v>
      </c>
      <c r="H7" s="6">
        <v>20</v>
      </c>
      <c r="I7" s="5" t="s">
        <v>17</v>
      </c>
    </row>
    <row r="8" spans="1:12" x14ac:dyDescent="0.25">
      <c r="A8" s="5" t="s">
        <v>18</v>
      </c>
      <c r="B8" s="6">
        <v>1200.29940937627</v>
      </c>
      <c r="C8" s="6">
        <v>-1205.7462643899601</v>
      </c>
      <c r="D8" s="6">
        <v>20</v>
      </c>
      <c r="E8" s="6">
        <v>-20</v>
      </c>
      <c r="F8" s="7">
        <f>D8/$L$4*100</f>
        <v>0.1142857142857143</v>
      </c>
      <c r="G8" s="6">
        <v>64.7798414782457</v>
      </c>
      <c r="H8" s="6">
        <v>20</v>
      </c>
      <c r="I8" s="5" t="s">
        <v>19</v>
      </c>
    </row>
    <row r="11" spans="1:12" ht="15.75" x14ac:dyDescent="0.25">
      <c r="A11" s="8" t="s">
        <v>20</v>
      </c>
    </row>
    <row r="12" spans="1:12" x14ac:dyDescent="0.25">
      <c r="A12" s="3" t="s">
        <v>2</v>
      </c>
      <c r="B12" s="3" t="s">
        <v>21</v>
      </c>
      <c r="C12" s="3" t="s">
        <v>22</v>
      </c>
    </row>
    <row r="13" spans="1:12" x14ac:dyDescent="0.25">
      <c r="A13" s="9" t="str">
        <f>A5</f>
        <v>M1_Original_RCC</v>
      </c>
      <c r="B13" s="10">
        <f>B5/B5</f>
        <v>1</v>
      </c>
      <c r="C13" s="10">
        <f>G5/G5</f>
        <v>1</v>
      </c>
    </row>
    <row r="14" spans="1:12" x14ac:dyDescent="0.25">
      <c r="A14" s="9" t="str">
        <f>A6</f>
        <v>M2_Degraded_RCC</v>
      </c>
      <c r="B14" s="10">
        <f>B6/B5</f>
        <v>0.72520414611108275</v>
      </c>
      <c r="C14" s="10">
        <f>G6/G5</f>
        <v>0.69645982963085973</v>
      </c>
    </row>
    <row r="15" spans="1:12" x14ac:dyDescent="0.25">
      <c r="A15" s="9" t="str">
        <f>A7</f>
        <v>M3_CFRP_GF</v>
      </c>
      <c r="B15" s="10">
        <f>B7/B5</f>
        <v>0.74629320025585377</v>
      </c>
      <c r="C15" s="10">
        <f>G7/G5</f>
        <v>0.71844033014311237</v>
      </c>
    </row>
    <row r="16" spans="1:12" x14ac:dyDescent="0.25">
      <c r="A16" s="9" t="str">
        <f>A8</f>
        <v>M4_CFRP_Full</v>
      </c>
      <c r="B16" s="10">
        <f>B8/B5</f>
        <v>0.79571844700413652</v>
      </c>
      <c r="C16" s="10">
        <f>G8/G5</f>
        <v>0.76834720114235699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5"/>
  <sheetViews>
    <sheetView tabSelected="1" zoomScaleNormal="100" workbookViewId="0">
      <selection activeCell="C16" sqref="C16"/>
    </sheetView>
  </sheetViews>
  <sheetFormatPr defaultColWidth="8.7109375" defaultRowHeight="15" x14ac:dyDescent="0.25"/>
  <cols>
    <col min="1" max="1" width="30.85546875" bestFit="1" customWidth="1"/>
    <col min="2" max="2" width="31.5703125" bestFit="1" customWidth="1"/>
    <col min="3" max="3" width="32.85546875" bestFit="1" customWidth="1"/>
    <col min="4" max="4" width="33.5703125" bestFit="1" customWidth="1"/>
    <col min="5" max="5" width="26.85546875" bestFit="1" customWidth="1"/>
    <col min="6" max="7" width="27.5703125" bestFit="1" customWidth="1"/>
    <col min="8" max="8" width="28.28515625" bestFit="1" customWidth="1"/>
  </cols>
  <sheetData>
    <row r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 s="11">
        <v>0.5</v>
      </c>
      <c r="B2" s="11">
        <v>42.192493550244798</v>
      </c>
      <c r="C2" s="11">
        <v>0.25</v>
      </c>
      <c r="D2" s="11">
        <v>14.693924134638401</v>
      </c>
      <c r="E2" s="11">
        <v>0.25</v>
      </c>
      <c r="F2" s="11">
        <v>15.1574161747627</v>
      </c>
      <c r="G2" s="11">
        <v>0.25</v>
      </c>
      <c r="H2" s="11">
        <v>16.210536465128101</v>
      </c>
    </row>
    <row r="3" spans="1:8" x14ac:dyDescent="0.25">
      <c r="A3" s="11">
        <v>1</v>
      </c>
      <c r="B3" s="11">
        <v>84.361640838164206</v>
      </c>
      <c r="C3" s="11">
        <v>0.5</v>
      </c>
      <c r="D3" s="11">
        <v>29.383986276853001</v>
      </c>
      <c r="E3" s="11">
        <v>0.5</v>
      </c>
      <c r="F3" s="11">
        <v>30.310953105722501</v>
      </c>
      <c r="G3" s="11">
        <v>0.5</v>
      </c>
      <c r="H3" s="11">
        <v>32.416931153698599</v>
      </c>
    </row>
    <row r="4" spans="1:8" x14ac:dyDescent="0.25">
      <c r="A4" s="11">
        <v>1.5</v>
      </c>
      <c r="B4" s="11">
        <v>126.505311701509</v>
      </c>
      <c r="C4" s="11">
        <v>0.75</v>
      </c>
      <c r="D4" s="11">
        <v>44.070127610576797</v>
      </c>
      <c r="E4" s="11">
        <v>0.75</v>
      </c>
      <c r="F4" s="11">
        <v>45.460532800040902</v>
      </c>
      <c r="G4" s="11">
        <v>0.75</v>
      </c>
      <c r="H4" s="11">
        <v>48.619073915766698</v>
      </c>
    </row>
    <row r="5" spans="1:8" x14ac:dyDescent="0.25">
      <c r="A5" s="11">
        <v>2</v>
      </c>
      <c r="B5" s="11">
        <v>168.62127273173601</v>
      </c>
      <c r="C5" s="11">
        <v>1</v>
      </c>
      <c r="D5" s="11">
        <v>58.752254767985903</v>
      </c>
      <c r="E5" s="11">
        <v>1</v>
      </c>
      <c r="F5" s="11">
        <v>60.606049706642402</v>
      </c>
      <c r="G5" s="11">
        <v>1</v>
      </c>
      <c r="H5" s="11">
        <v>64.816819445609497</v>
      </c>
    </row>
    <row r="6" spans="1:8" x14ac:dyDescent="0.25">
      <c r="A6" s="11">
        <v>1.5</v>
      </c>
      <c r="B6" s="11">
        <v>126.20281603319999</v>
      </c>
      <c r="C6" s="11">
        <v>1.25</v>
      </c>
      <c r="D6" s="11">
        <v>73.430251018353601</v>
      </c>
      <c r="E6" s="11">
        <v>1.25</v>
      </c>
      <c r="F6" s="11">
        <v>75.747342453284404</v>
      </c>
      <c r="G6" s="11">
        <v>1.25</v>
      </c>
      <c r="H6" s="11">
        <v>81.009957061495797</v>
      </c>
    </row>
    <row r="7" spans="1:8" x14ac:dyDescent="0.25">
      <c r="A7" s="11">
        <v>1</v>
      </c>
      <c r="B7" s="11">
        <v>83.784542718143896</v>
      </c>
      <c r="C7" s="11">
        <v>1.5</v>
      </c>
      <c r="D7" s="11">
        <v>88.103968705467693</v>
      </c>
      <c r="E7" s="11">
        <v>1.5</v>
      </c>
      <c r="F7" s="11">
        <v>90.884267545550003</v>
      </c>
      <c r="G7" s="11">
        <v>1.5</v>
      </c>
      <c r="H7" s="11">
        <v>97.198260556169004</v>
      </c>
    </row>
    <row r="8" spans="1:8" x14ac:dyDescent="0.25">
      <c r="A8" s="11">
        <v>0.5</v>
      </c>
      <c r="B8" s="11">
        <v>41.366498748186103</v>
      </c>
      <c r="C8" s="11">
        <v>1.75</v>
      </c>
      <c r="D8" s="11">
        <v>102.773266624073</v>
      </c>
      <c r="E8" s="11">
        <v>1.75</v>
      </c>
      <c r="F8" s="11">
        <v>106.016596448887</v>
      </c>
      <c r="G8" s="11">
        <v>1.75</v>
      </c>
      <c r="H8" s="11">
        <v>113.381589343366</v>
      </c>
    </row>
    <row r="9" spans="1:8" x14ac:dyDescent="0.25">
      <c r="A9" s="11">
        <v>0</v>
      </c>
      <c r="B9" s="11">
        <v>-1.04773125566666</v>
      </c>
      <c r="C9" s="11">
        <v>2</v>
      </c>
      <c r="D9" s="11">
        <v>117.437942878884</v>
      </c>
      <c r="E9" s="11">
        <v>2</v>
      </c>
      <c r="F9" s="11">
        <v>121.14432285053999</v>
      </c>
      <c r="G9" s="11">
        <v>2</v>
      </c>
      <c r="H9" s="11">
        <v>129.559682956491</v>
      </c>
    </row>
    <row r="10" spans="1:8" x14ac:dyDescent="0.25">
      <c r="A10" s="11">
        <v>-0.5</v>
      </c>
      <c r="B10" s="11">
        <v>-43.239750705868303</v>
      </c>
      <c r="C10" s="11">
        <v>1.75</v>
      </c>
      <c r="D10" s="11">
        <v>102.635470615377</v>
      </c>
      <c r="E10" s="11">
        <v>1.75</v>
      </c>
      <c r="F10" s="11">
        <v>105.887368103009</v>
      </c>
      <c r="G10" s="11">
        <v>1.75</v>
      </c>
      <c r="H10" s="11">
        <v>113.257006123194</v>
      </c>
    </row>
    <row r="11" spans="1:8" x14ac:dyDescent="0.25">
      <c r="A11" s="11">
        <v>-1</v>
      </c>
      <c r="B11" s="11">
        <v>-85.406183924478796</v>
      </c>
      <c r="C11" s="11">
        <v>1.5</v>
      </c>
      <c r="D11" s="11">
        <v>87.833026328451894</v>
      </c>
      <c r="E11" s="11">
        <v>1.5</v>
      </c>
      <c r="F11" s="11">
        <v>90.630438706925602</v>
      </c>
      <c r="G11" s="11">
        <v>1.5</v>
      </c>
      <c r="H11" s="11">
        <v>96.954357118005007</v>
      </c>
    </row>
    <row r="12" spans="1:8" x14ac:dyDescent="0.25">
      <c r="A12" s="11">
        <v>-1.5</v>
      </c>
      <c r="B12" s="11">
        <v>-127.546180079897</v>
      </c>
      <c r="C12" s="11">
        <v>1.25</v>
      </c>
      <c r="D12" s="11">
        <v>73.030605411345107</v>
      </c>
      <c r="E12" s="11">
        <v>1.25</v>
      </c>
      <c r="F12" s="11">
        <v>75.373539488195206</v>
      </c>
      <c r="G12" s="11">
        <v>1.25</v>
      </c>
      <c r="H12" s="11">
        <v>80.651745269470894</v>
      </c>
    </row>
    <row r="13" spans="1:8" x14ac:dyDescent="0.25">
      <c r="A13" s="11">
        <v>-2</v>
      </c>
      <c r="B13" s="11">
        <v>-169.659064670042</v>
      </c>
      <c r="C13" s="11">
        <v>1</v>
      </c>
      <c r="D13" s="11">
        <v>58.228210494764298</v>
      </c>
      <c r="E13" s="11">
        <v>1</v>
      </c>
      <c r="F13" s="11">
        <v>60.116672226269401</v>
      </c>
      <c r="G13" s="11">
        <v>1</v>
      </c>
      <c r="H13" s="11">
        <v>64.349174199117996</v>
      </c>
    </row>
    <row r="14" spans="1:8" x14ac:dyDescent="0.25">
      <c r="A14" s="11">
        <v>-1.5</v>
      </c>
      <c r="B14" s="11">
        <v>-127.240797659672</v>
      </c>
      <c r="C14" s="11">
        <v>0.75</v>
      </c>
      <c r="D14" s="11">
        <v>43.425828891574596</v>
      </c>
      <c r="E14" s="11">
        <v>0.75</v>
      </c>
      <c r="F14" s="11">
        <v>44.8598148995857</v>
      </c>
      <c r="G14" s="11">
        <v>0.75</v>
      </c>
      <c r="H14" s="11">
        <v>48.046639047527499</v>
      </c>
    </row>
    <row r="15" spans="1:8" x14ac:dyDescent="0.25">
      <c r="A15" s="11">
        <v>-1</v>
      </c>
      <c r="B15" s="11">
        <v>-84.823257851783893</v>
      </c>
      <c r="C15" s="11">
        <v>0.5</v>
      </c>
      <c r="D15" s="11">
        <v>28.623486737305701</v>
      </c>
      <c r="E15" s="11">
        <v>0.5</v>
      </c>
      <c r="F15" s="11">
        <v>29.602997448989001</v>
      </c>
      <c r="G15" s="11">
        <v>0.5</v>
      </c>
      <c r="H15" s="11">
        <v>31.7441160360213</v>
      </c>
    </row>
    <row r="16" spans="1:8" x14ac:dyDescent="0.25">
      <c r="A16" s="11">
        <v>-0.5</v>
      </c>
      <c r="B16" s="11">
        <v>-42.406712848657797</v>
      </c>
      <c r="C16" s="11">
        <v>0.25</v>
      </c>
      <c r="D16" s="11">
        <v>13.8211322660137</v>
      </c>
      <c r="E16" s="11">
        <v>0.25</v>
      </c>
      <c r="F16" s="11">
        <v>14.3461907056345</v>
      </c>
      <c r="G16" s="11">
        <v>0.25</v>
      </c>
      <c r="H16" s="11">
        <v>15.4416506846429</v>
      </c>
    </row>
    <row r="17" spans="1:8" x14ac:dyDescent="0.25">
      <c r="A17" s="11">
        <v>0</v>
      </c>
      <c r="B17" s="11">
        <v>9.5229020352472996E-3</v>
      </c>
      <c r="C17" s="11">
        <v>0</v>
      </c>
      <c r="D17" s="11">
        <v>-0.97606835697030303</v>
      </c>
      <c r="E17" s="11">
        <v>0</v>
      </c>
      <c r="F17" s="11">
        <v>-0.90633345893987705</v>
      </c>
      <c r="G17" s="11">
        <v>0</v>
      </c>
      <c r="H17" s="11">
        <v>-0.85728263878925504</v>
      </c>
    </row>
    <row r="18" spans="1:8" x14ac:dyDescent="0.25">
      <c r="A18" s="11">
        <v>0.5</v>
      </c>
      <c r="B18" s="11">
        <v>42.4251967320603</v>
      </c>
      <c r="C18" s="11">
        <v>-0.25</v>
      </c>
      <c r="D18" s="11">
        <v>-15.6700771705351</v>
      </c>
      <c r="E18" s="11">
        <v>-0.25</v>
      </c>
      <c r="F18" s="11">
        <v>-16.063853237142599</v>
      </c>
      <c r="G18" s="11">
        <v>-0.25</v>
      </c>
      <c r="H18" s="11">
        <v>-17.067973587291299</v>
      </c>
    </row>
    <row r="19" spans="1:8" x14ac:dyDescent="0.25">
      <c r="A19" s="11">
        <v>1</v>
      </c>
      <c r="B19" s="11">
        <v>84.8388354252574</v>
      </c>
      <c r="C19" s="11">
        <v>-0.5</v>
      </c>
      <c r="D19" s="11">
        <v>-30.3600434779373</v>
      </c>
      <c r="E19" s="11">
        <v>-0.5</v>
      </c>
      <c r="F19" s="11">
        <v>-31.217307487843499</v>
      </c>
      <c r="G19" s="11">
        <v>-0.5</v>
      </c>
      <c r="H19" s="11">
        <v>-33.274274983219001</v>
      </c>
    </row>
    <row r="20" spans="1:8" x14ac:dyDescent="0.25">
      <c r="A20" s="11">
        <v>1.5</v>
      </c>
      <c r="B20" s="11">
        <v>127.251087103497</v>
      </c>
      <c r="C20" s="11">
        <v>-0.75</v>
      </c>
      <c r="D20" s="11">
        <v>-45.045932812813803</v>
      </c>
      <c r="E20" s="11">
        <v>-0.75</v>
      </c>
      <c r="F20" s="11">
        <v>-46.366554858602797</v>
      </c>
      <c r="G20" s="11">
        <v>-0.75</v>
      </c>
      <c r="H20" s="11">
        <v>-49.475944712884299</v>
      </c>
    </row>
    <row r="21" spans="1:8" x14ac:dyDescent="0.25">
      <c r="A21" s="11">
        <v>2</v>
      </c>
      <c r="B21" s="11">
        <v>169.65767093573001</v>
      </c>
      <c r="C21" s="11">
        <v>-1</v>
      </c>
      <c r="D21" s="11">
        <v>-59.7276064423287</v>
      </c>
      <c r="E21" s="11">
        <v>-1</v>
      </c>
      <c r="F21" s="11">
        <v>-61.511495485406002</v>
      </c>
      <c r="G21" s="11">
        <v>-1</v>
      </c>
      <c r="H21" s="11">
        <v>-65.672911597378004</v>
      </c>
    </row>
    <row r="22" spans="1:8" x14ac:dyDescent="0.25">
      <c r="A22" s="11">
        <v>2.5</v>
      </c>
      <c r="B22" s="11">
        <v>211.73909876079799</v>
      </c>
      <c r="C22" s="11">
        <v>-1.25</v>
      </c>
      <c r="D22" s="11">
        <v>-74.4049938963893</v>
      </c>
      <c r="E22" s="11">
        <v>-1.25</v>
      </c>
      <c r="F22" s="11">
        <v>-76.651986096070004</v>
      </c>
      <c r="G22" s="11">
        <v>-1.25</v>
      </c>
      <c r="H22" s="11">
        <v>-81.864576732645304</v>
      </c>
    </row>
    <row r="23" spans="1:8" x14ac:dyDescent="0.25">
      <c r="A23" s="11">
        <v>3</v>
      </c>
      <c r="B23" s="11">
        <v>253.79213751463001</v>
      </c>
      <c r="C23" s="11">
        <v>-1.5</v>
      </c>
      <c r="D23" s="11">
        <v>-89.077281790272707</v>
      </c>
      <c r="E23" s="11">
        <v>-1.5</v>
      </c>
      <c r="F23" s="11">
        <v>-91.787984108952898</v>
      </c>
      <c r="G23" s="11">
        <v>-1.5</v>
      </c>
      <c r="H23" s="11">
        <v>-98.0515434489039</v>
      </c>
    </row>
    <row r="24" spans="1:8" x14ac:dyDescent="0.25">
      <c r="A24" s="11">
        <v>3.5</v>
      </c>
      <c r="B24" s="11">
        <v>295.81100113824402</v>
      </c>
      <c r="C24" s="11">
        <v>-1.75</v>
      </c>
      <c r="D24" s="11">
        <v>-103.745733381072</v>
      </c>
      <c r="E24" s="11">
        <v>-1.75</v>
      </c>
      <c r="F24" s="11">
        <v>-106.918820972874</v>
      </c>
      <c r="G24" s="11">
        <v>-1.75</v>
      </c>
      <c r="H24" s="11">
        <v>-114.233990671643</v>
      </c>
    </row>
    <row r="25" spans="1:8" x14ac:dyDescent="0.25">
      <c r="A25" s="11">
        <v>4</v>
      </c>
      <c r="B25" s="11">
        <v>337.79903964638203</v>
      </c>
      <c r="C25" s="11">
        <v>-2</v>
      </c>
      <c r="D25" s="11">
        <v>-118.408930830722</v>
      </c>
      <c r="E25" s="11">
        <v>-2</v>
      </c>
      <c r="F25" s="11">
        <v>-122.045669611896</v>
      </c>
      <c r="G25" s="11">
        <v>-2</v>
      </c>
      <c r="H25" s="11">
        <v>-130.410419685942</v>
      </c>
    </row>
    <row r="26" spans="1:8" x14ac:dyDescent="0.25">
      <c r="A26" s="11">
        <v>4.5</v>
      </c>
      <c r="B26" s="11">
        <v>379.749726007699</v>
      </c>
      <c r="C26" s="11">
        <v>-1.75</v>
      </c>
      <c r="D26" s="11">
        <v>-103.606509276098</v>
      </c>
      <c r="E26" s="11">
        <v>-1.75</v>
      </c>
      <c r="F26" s="11">
        <v>-106.788752777337</v>
      </c>
      <c r="G26" s="11">
        <v>-1.75</v>
      </c>
      <c r="H26" s="11">
        <v>-114.107807499828</v>
      </c>
    </row>
    <row r="27" spans="1:8" x14ac:dyDescent="0.25">
      <c r="A27" s="11">
        <v>5</v>
      </c>
      <c r="B27" s="11">
        <v>421.63761477327301</v>
      </c>
      <c r="C27" s="11">
        <v>-1.5</v>
      </c>
      <c r="D27" s="11">
        <v>-88.804208659276597</v>
      </c>
      <c r="E27" s="11">
        <v>-1.5</v>
      </c>
      <c r="F27" s="11">
        <v>-91.531959807329997</v>
      </c>
      <c r="G27" s="11">
        <v>-1.5</v>
      </c>
      <c r="H27" s="11">
        <v>-97.805312515464806</v>
      </c>
    </row>
    <row r="28" spans="1:8" x14ac:dyDescent="0.25">
      <c r="A28" s="11">
        <v>5.5</v>
      </c>
      <c r="B28" s="11">
        <v>463.42028670164302</v>
      </c>
      <c r="C28" s="11">
        <v>-1.25</v>
      </c>
      <c r="D28" s="11">
        <v>-74.002039388292204</v>
      </c>
      <c r="E28" s="11">
        <v>-1.25</v>
      </c>
      <c r="F28" s="11">
        <v>-76.275299474474195</v>
      </c>
      <c r="G28" s="11">
        <v>-1.25</v>
      </c>
      <c r="H28" s="11">
        <v>-81.502978013435495</v>
      </c>
    </row>
    <row r="29" spans="1:8" x14ac:dyDescent="0.25">
      <c r="A29" s="11">
        <v>6</v>
      </c>
      <c r="B29" s="11">
        <v>505.04676083518501</v>
      </c>
      <c r="C29" s="11">
        <v>-1</v>
      </c>
      <c r="D29" s="11">
        <v>-59.199988794984101</v>
      </c>
      <c r="E29" s="11">
        <v>-1</v>
      </c>
      <c r="F29" s="11">
        <v>-61.018793375267599</v>
      </c>
      <c r="G29" s="11">
        <v>-1</v>
      </c>
      <c r="H29" s="11">
        <v>-65.200826017720601</v>
      </c>
    </row>
    <row r="30" spans="1:8" x14ac:dyDescent="0.25">
      <c r="A30" s="11">
        <v>6.5</v>
      </c>
      <c r="B30" s="11">
        <v>546.50021133222106</v>
      </c>
      <c r="C30" s="11">
        <v>-0.75</v>
      </c>
      <c r="D30" s="11">
        <v>-44.398048833222802</v>
      </c>
      <c r="E30" s="11">
        <v>-0.75</v>
      </c>
      <c r="F30" s="11">
        <v>-45.762418436964502</v>
      </c>
      <c r="G30" s="11">
        <v>-0.75</v>
      </c>
      <c r="H30" s="11">
        <v>-48.898859647927097</v>
      </c>
    </row>
    <row r="31" spans="1:8" x14ac:dyDescent="0.25">
      <c r="A31" s="11">
        <v>7</v>
      </c>
      <c r="B31" s="11">
        <v>587.74831139283197</v>
      </c>
      <c r="C31" s="11">
        <v>-0.5</v>
      </c>
      <c r="D31" s="11">
        <v>-29.596174667482501</v>
      </c>
      <c r="E31" s="11">
        <v>-0.5</v>
      </c>
      <c r="F31" s="11">
        <v>-30.506134412237799</v>
      </c>
      <c r="G31" s="11">
        <v>-0.5</v>
      </c>
      <c r="H31" s="11">
        <v>-32.597043175344801</v>
      </c>
    </row>
    <row r="32" spans="1:8" x14ac:dyDescent="0.25">
      <c r="A32" s="11">
        <v>7.5</v>
      </c>
      <c r="B32" s="11">
        <v>628.777133518955</v>
      </c>
      <c r="C32" s="11">
        <v>-0.25</v>
      </c>
      <c r="D32" s="11">
        <v>-14.7943253112941</v>
      </c>
      <c r="E32" s="11">
        <v>-0.25</v>
      </c>
      <c r="F32" s="11">
        <v>-15.2498742029334</v>
      </c>
      <c r="G32" s="11">
        <v>-0.25</v>
      </c>
      <c r="H32" s="11">
        <v>-16.295252541366199</v>
      </c>
    </row>
    <row r="33" spans="1:8" x14ac:dyDescent="0.25">
      <c r="A33" s="11">
        <v>8</v>
      </c>
      <c r="B33" s="11">
        <v>669.52329876875694</v>
      </c>
      <c r="C33" s="11">
        <v>0</v>
      </c>
      <c r="D33" s="11">
        <v>7.5339691564477798E-3</v>
      </c>
      <c r="E33" s="11">
        <v>0</v>
      </c>
      <c r="F33" s="11">
        <v>6.3851005594024899E-3</v>
      </c>
      <c r="G33" s="11">
        <v>0</v>
      </c>
      <c r="H33" s="11">
        <v>6.5680263234807901E-3</v>
      </c>
    </row>
    <row r="34" spans="1:8" x14ac:dyDescent="0.25">
      <c r="A34" s="11">
        <v>7.5</v>
      </c>
      <c r="B34" s="11">
        <v>627.26034911750696</v>
      </c>
      <c r="C34" s="11">
        <v>0.25</v>
      </c>
      <c r="D34" s="11">
        <v>14.809322696651201</v>
      </c>
      <c r="E34" s="11">
        <v>0.25</v>
      </c>
      <c r="F34" s="11">
        <v>15.262597610308299</v>
      </c>
      <c r="G34" s="11">
        <v>0.25</v>
      </c>
      <c r="H34" s="11">
        <v>16.3083101548042</v>
      </c>
    </row>
    <row r="35" spans="1:8" x14ac:dyDescent="0.25">
      <c r="A35" s="11">
        <v>7</v>
      </c>
      <c r="B35" s="11">
        <v>584.99834195982703</v>
      </c>
      <c r="C35" s="11">
        <v>0.5</v>
      </c>
      <c r="D35" s="11">
        <v>29.611076486116801</v>
      </c>
      <c r="E35" s="11">
        <v>0.5</v>
      </c>
      <c r="F35" s="11">
        <v>30.5186427497514</v>
      </c>
      <c r="G35" s="11">
        <v>0.5</v>
      </c>
      <c r="H35" s="11">
        <v>32.609795891347702</v>
      </c>
    </row>
    <row r="36" spans="1:8" x14ac:dyDescent="0.25">
      <c r="A36" s="11">
        <v>6.5</v>
      </c>
      <c r="B36" s="11">
        <v>542.73733552815304</v>
      </c>
      <c r="C36" s="11">
        <v>0.75</v>
      </c>
      <c r="D36" s="11">
        <v>44.412516894847997</v>
      </c>
      <c r="E36" s="11">
        <v>0.75</v>
      </c>
      <c r="F36" s="11">
        <v>45.774518703141801</v>
      </c>
      <c r="G36" s="11">
        <v>0.75</v>
      </c>
      <c r="H36" s="11">
        <v>48.911129132608401</v>
      </c>
    </row>
    <row r="37" spans="1:8" x14ac:dyDescent="0.25">
      <c r="A37" s="11">
        <v>6</v>
      </c>
      <c r="B37" s="11">
        <v>500.47716735841402</v>
      </c>
      <c r="C37" s="11">
        <v>1</v>
      </c>
      <c r="D37" s="11">
        <v>59.213946202736103</v>
      </c>
      <c r="E37" s="11">
        <v>1</v>
      </c>
      <c r="F37" s="11">
        <v>61.0301274288028</v>
      </c>
      <c r="G37" s="11">
        <v>1</v>
      </c>
      <c r="H37" s="11">
        <v>65.211810778097998</v>
      </c>
    </row>
    <row r="38" spans="1:8" x14ac:dyDescent="0.25">
      <c r="A38" s="11">
        <v>5.5</v>
      </c>
      <c r="B38" s="11">
        <v>458.21789339465499</v>
      </c>
      <c r="C38" s="11">
        <v>1.25</v>
      </c>
      <c r="D38" s="11">
        <v>74.014866875180104</v>
      </c>
      <c r="E38" s="11">
        <v>1.25</v>
      </c>
      <c r="F38" s="11">
        <v>76.2851427438912</v>
      </c>
      <c r="G38" s="11">
        <v>1.25</v>
      </c>
      <c r="H38" s="11">
        <v>81.512322659097705</v>
      </c>
    </row>
    <row r="39" spans="1:8" x14ac:dyDescent="0.25">
      <c r="A39" s="11">
        <v>5</v>
      </c>
      <c r="B39" s="11">
        <v>415.95959946551602</v>
      </c>
      <c r="C39" s="11">
        <v>1.5</v>
      </c>
      <c r="D39" s="11">
        <v>88.815305977581602</v>
      </c>
      <c r="E39" s="11">
        <v>1.5</v>
      </c>
      <c r="F39" s="11">
        <v>91.540008874071006</v>
      </c>
      <c r="G39" s="11">
        <v>1.5</v>
      </c>
      <c r="H39" s="11">
        <v>97.811988715327999</v>
      </c>
    </row>
    <row r="40" spans="1:8" x14ac:dyDescent="0.25">
      <c r="A40" s="11">
        <v>4.5</v>
      </c>
      <c r="B40" s="11">
        <v>373.702361272112</v>
      </c>
      <c r="C40" s="11">
        <v>1.75</v>
      </c>
      <c r="D40" s="11">
        <v>103.615669120395</v>
      </c>
      <c r="E40" s="11">
        <v>1.75</v>
      </c>
      <c r="F40" s="11">
        <v>106.79463778175401</v>
      </c>
      <c r="G40" s="11">
        <v>1.75</v>
      </c>
      <c r="H40" s="11">
        <v>114.1125574239</v>
      </c>
    </row>
    <row r="41" spans="1:8" x14ac:dyDescent="0.25">
      <c r="A41" s="11">
        <v>4</v>
      </c>
      <c r="B41" s="11">
        <v>331.44627871582702</v>
      </c>
      <c r="C41" s="11">
        <v>2</v>
      </c>
      <c r="D41" s="11">
        <v>118.409456252178</v>
      </c>
      <c r="E41" s="11">
        <v>2</v>
      </c>
      <c r="F41" s="11">
        <v>122.044209680337</v>
      </c>
      <c r="G41" s="11">
        <v>2</v>
      </c>
      <c r="H41" s="11">
        <v>130.40751430426999</v>
      </c>
    </row>
    <row r="42" spans="1:8" x14ac:dyDescent="0.25">
      <c r="A42" s="11">
        <v>3.5</v>
      </c>
      <c r="B42" s="11">
        <v>289.19113780510401</v>
      </c>
      <c r="C42" s="11">
        <v>2.25</v>
      </c>
      <c r="D42" s="11">
        <v>133.06845915539799</v>
      </c>
      <c r="E42" s="11">
        <v>2.25</v>
      </c>
      <c r="F42" s="11">
        <v>137.16473503775299</v>
      </c>
      <c r="G42" s="11">
        <v>2.25</v>
      </c>
      <c r="H42" s="11">
        <v>146.578554614897</v>
      </c>
    </row>
    <row r="43" spans="1:8" x14ac:dyDescent="0.25">
      <c r="A43" s="11">
        <v>3</v>
      </c>
      <c r="B43" s="11">
        <v>246.93792466275701</v>
      </c>
      <c r="C43" s="11">
        <v>2.5</v>
      </c>
      <c r="D43" s="11">
        <v>147.72143543563701</v>
      </c>
      <c r="E43" s="11">
        <v>2.5</v>
      </c>
      <c r="F43" s="11">
        <v>152.28119067918399</v>
      </c>
      <c r="G43" s="11">
        <v>2.5</v>
      </c>
      <c r="H43" s="11">
        <v>162.74446328171899</v>
      </c>
    </row>
    <row r="44" spans="1:8" x14ac:dyDescent="0.25">
      <c r="A44" s="11">
        <v>2.5</v>
      </c>
      <c r="B44" s="11">
        <v>204.689543214986</v>
      </c>
      <c r="C44" s="11">
        <v>2.75</v>
      </c>
      <c r="D44" s="11">
        <v>162.37019999743299</v>
      </c>
      <c r="E44" s="11">
        <v>2.75</v>
      </c>
      <c r="F44" s="11">
        <v>167.39267272738499</v>
      </c>
      <c r="G44" s="11">
        <v>2.75</v>
      </c>
      <c r="H44" s="11">
        <v>178.903220062473</v>
      </c>
    </row>
    <row r="45" spans="1:8" x14ac:dyDescent="0.25">
      <c r="A45" s="11">
        <v>2</v>
      </c>
      <c r="B45" s="11">
        <v>162.445682160665</v>
      </c>
      <c r="C45" s="11">
        <v>3</v>
      </c>
      <c r="D45" s="11">
        <v>177.01420214555</v>
      </c>
      <c r="E45" s="11">
        <v>3</v>
      </c>
      <c r="F45" s="11">
        <v>182.498449279044</v>
      </c>
      <c r="G45" s="11">
        <v>3</v>
      </c>
      <c r="H45" s="11">
        <v>195.05760496539699</v>
      </c>
    </row>
    <row r="46" spans="1:8" x14ac:dyDescent="0.25">
      <c r="A46" s="11">
        <v>1.5</v>
      </c>
      <c r="B46" s="11">
        <v>120.212985148892</v>
      </c>
      <c r="C46" s="11">
        <v>3.25</v>
      </c>
      <c r="D46" s="11">
        <v>191.65301310636599</v>
      </c>
      <c r="E46" s="11">
        <v>3.25</v>
      </c>
      <c r="F46" s="11">
        <v>197.59848548691301</v>
      </c>
      <c r="G46" s="11">
        <v>3.25</v>
      </c>
      <c r="H46" s="11">
        <v>211.206547982437</v>
      </c>
    </row>
    <row r="47" spans="1:8" x14ac:dyDescent="0.25">
      <c r="A47" s="11">
        <v>1</v>
      </c>
      <c r="B47" s="11">
        <v>77.999057162802103</v>
      </c>
      <c r="C47" s="11">
        <v>3.5</v>
      </c>
      <c r="D47" s="11">
        <v>206.284874280601</v>
      </c>
      <c r="E47" s="11">
        <v>3.5</v>
      </c>
      <c r="F47" s="11">
        <v>212.694068679244</v>
      </c>
      <c r="G47" s="11">
        <v>3.5</v>
      </c>
      <c r="H47" s="11">
        <v>227.349752349596</v>
      </c>
    </row>
    <row r="48" spans="1:8" x14ac:dyDescent="0.25">
      <c r="A48" s="11">
        <v>0.5</v>
      </c>
      <c r="B48" s="11">
        <v>35.779347154423903</v>
      </c>
      <c r="C48" s="11">
        <v>3.75</v>
      </c>
      <c r="D48" s="11">
        <v>220.91302954362899</v>
      </c>
      <c r="E48" s="11">
        <v>3.75</v>
      </c>
      <c r="F48" s="11">
        <v>227.78450694036499</v>
      </c>
      <c r="G48" s="11">
        <v>3.75</v>
      </c>
      <c r="H48" s="11">
        <v>243.486077335739</v>
      </c>
    </row>
    <row r="49" spans="1:8" x14ac:dyDescent="0.25">
      <c r="A49" s="11">
        <v>0</v>
      </c>
      <c r="B49" s="11">
        <v>-6.4629384819396698</v>
      </c>
      <c r="C49" s="11">
        <v>4</v>
      </c>
      <c r="D49" s="11">
        <v>235.53600025287</v>
      </c>
      <c r="E49" s="11">
        <v>4</v>
      </c>
      <c r="F49" s="11">
        <v>242.86948987653</v>
      </c>
      <c r="G49" s="11">
        <v>4</v>
      </c>
      <c r="H49" s="11">
        <v>259.6171815125</v>
      </c>
    </row>
    <row r="50" spans="1:8" x14ac:dyDescent="0.25">
      <c r="A50" s="11">
        <v>-0.5</v>
      </c>
      <c r="B50" s="11">
        <v>-48.666939408761202</v>
      </c>
      <c r="C50" s="11">
        <v>4.25</v>
      </c>
      <c r="D50" s="11">
        <v>250.15435069988101</v>
      </c>
      <c r="E50" s="11">
        <v>4.25</v>
      </c>
      <c r="F50" s="11">
        <v>257.94796864886098</v>
      </c>
      <c r="G50" s="11">
        <v>4.25</v>
      </c>
      <c r="H50" s="11">
        <v>275.74246012374101</v>
      </c>
    </row>
    <row r="51" spans="1:8" x14ac:dyDescent="0.25">
      <c r="A51" s="11">
        <v>-1</v>
      </c>
      <c r="B51" s="11">
        <v>-90.8352951636613</v>
      </c>
      <c r="C51" s="11">
        <v>4.5</v>
      </c>
      <c r="D51" s="11">
        <v>264.76618866371803</v>
      </c>
      <c r="E51" s="11">
        <v>4.5</v>
      </c>
      <c r="F51" s="11">
        <v>273.02118243916101</v>
      </c>
      <c r="G51" s="11">
        <v>4.5</v>
      </c>
      <c r="H51" s="11">
        <v>291.861643868709</v>
      </c>
    </row>
    <row r="52" spans="1:8" x14ac:dyDescent="0.25">
      <c r="A52" s="11">
        <v>-1.5</v>
      </c>
      <c r="B52" s="11">
        <v>-133.060229408868</v>
      </c>
      <c r="C52" s="11">
        <v>4.75</v>
      </c>
      <c r="D52" s="11">
        <v>279.37168252596501</v>
      </c>
      <c r="E52" s="11">
        <v>4.75</v>
      </c>
      <c r="F52" s="11">
        <v>288.08840957356301</v>
      </c>
      <c r="G52" s="11">
        <v>4.75</v>
      </c>
      <c r="H52" s="11">
        <v>307.97259704779498</v>
      </c>
    </row>
    <row r="53" spans="1:8" x14ac:dyDescent="0.25">
      <c r="A53" s="11">
        <v>-2</v>
      </c>
      <c r="B53" s="11">
        <v>-175.31970017735799</v>
      </c>
      <c r="C53" s="11">
        <v>5</v>
      </c>
      <c r="D53" s="11">
        <v>293.96948479382502</v>
      </c>
      <c r="E53" s="11">
        <v>5</v>
      </c>
      <c r="F53" s="11">
        <v>303.14747819842501</v>
      </c>
      <c r="G53" s="11">
        <v>5</v>
      </c>
      <c r="H53" s="11">
        <v>324.07475888063499</v>
      </c>
    </row>
    <row r="54" spans="1:8" x14ac:dyDescent="0.25">
      <c r="A54" s="11">
        <v>-2.5</v>
      </c>
      <c r="B54" s="11">
        <v>-217.308305453087</v>
      </c>
      <c r="C54" s="11">
        <v>5.25</v>
      </c>
      <c r="D54" s="11">
        <v>308.55940410673099</v>
      </c>
      <c r="E54" s="11">
        <v>5.25</v>
      </c>
      <c r="F54" s="11">
        <v>318.19746768873699</v>
      </c>
      <c r="G54" s="11">
        <v>5.25</v>
      </c>
      <c r="H54" s="11">
        <v>340.16528106195102</v>
      </c>
    </row>
    <row r="55" spans="1:8" x14ac:dyDescent="0.25">
      <c r="A55" s="11">
        <v>-3</v>
      </c>
      <c r="B55" s="11">
        <v>-259.29687060497997</v>
      </c>
      <c r="C55" s="11">
        <v>5.5</v>
      </c>
      <c r="D55" s="11">
        <v>323.136675707199</v>
      </c>
      <c r="E55" s="11">
        <v>5.5</v>
      </c>
      <c r="F55" s="11">
        <v>333.23474596502501</v>
      </c>
      <c r="G55" s="11">
        <v>5.5</v>
      </c>
      <c r="H55" s="11">
        <v>356.24241288152098</v>
      </c>
    </row>
    <row r="56" spans="1:8" x14ac:dyDescent="0.25">
      <c r="A56" s="11">
        <v>-3.5</v>
      </c>
      <c r="B56" s="11">
        <v>-301.25938813241402</v>
      </c>
      <c r="C56" s="11">
        <v>5.75</v>
      </c>
      <c r="D56" s="11">
        <v>337.70169543383503</v>
      </c>
      <c r="E56" s="11">
        <v>5.75</v>
      </c>
      <c r="F56" s="11">
        <v>348.25852632723502</v>
      </c>
      <c r="G56" s="11">
        <v>5.75</v>
      </c>
      <c r="H56" s="11">
        <v>372.30702898663998</v>
      </c>
    </row>
    <row r="57" spans="1:8" x14ac:dyDescent="0.25">
      <c r="A57" s="11">
        <v>-4</v>
      </c>
      <c r="B57" s="11">
        <v>-343.188830838353</v>
      </c>
      <c r="C57" s="11">
        <v>6</v>
      </c>
      <c r="D57" s="11">
        <v>352.25061582078598</v>
      </c>
      <c r="E57" s="11">
        <v>6</v>
      </c>
      <c r="F57" s="11">
        <v>363.26773251267502</v>
      </c>
      <c r="G57" s="11">
        <v>6</v>
      </c>
      <c r="H57" s="11">
        <v>388.35370814804099</v>
      </c>
    </row>
    <row r="58" spans="1:8" x14ac:dyDescent="0.25">
      <c r="A58" s="11">
        <v>-4.5</v>
      </c>
      <c r="B58" s="11">
        <v>-385.05282051101801</v>
      </c>
      <c r="C58" s="11">
        <v>6.25</v>
      </c>
      <c r="D58" s="11">
        <v>366.78453860571398</v>
      </c>
      <c r="E58" s="11">
        <v>6.25</v>
      </c>
      <c r="F58" s="11">
        <v>378.25725817396898</v>
      </c>
      <c r="G58" s="11">
        <v>6.25</v>
      </c>
      <c r="H58" s="11">
        <v>404.379770334157</v>
      </c>
    </row>
    <row r="59" spans="1:8" x14ac:dyDescent="0.25">
      <c r="A59" s="11">
        <v>-5</v>
      </c>
      <c r="B59" s="11">
        <v>-426.82009595078199</v>
      </c>
      <c r="C59" s="11">
        <v>6.5</v>
      </c>
      <c r="D59" s="11">
        <v>381.29537916565903</v>
      </c>
      <c r="E59" s="11">
        <v>6.5</v>
      </c>
      <c r="F59" s="11">
        <v>393.22639850861202</v>
      </c>
      <c r="G59" s="11">
        <v>6.5</v>
      </c>
      <c r="H59" s="11">
        <v>420.38257265130699</v>
      </c>
    </row>
    <row r="60" spans="1:8" x14ac:dyDescent="0.25">
      <c r="A60" s="11">
        <v>-5.5</v>
      </c>
      <c r="B60" s="11">
        <v>-468.470377322084</v>
      </c>
      <c r="C60" s="11">
        <v>6.75</v>
      </c>
      <c r="D60" s="11">
        <v>395.783162820923</v>
      </c>
      <c r="E60" s="11">
        <v>6.75</v>
      </c>
      <c r="F60" s="11">
        <v>408.170373649331</v>
      </c>
      <c r="G60" s="11">
        <v>6.75</v>
      </c>
      <c r="H60" s="11">
        <v>436.361681138466</v>
      </c>
    </row>
    <row r="61" spans="1:8" x14ac:dyDescent="0.25">
      <c r="A61" s="11">
        <v>-6</v>
      </c>
      <c r="B61" s="11">
        <v>-509.98507303183197</v>
      </c>
      <c r="C61" s="11">
        <v>7</v>
      </c>
      <c r="D61" s="11">
        <v>410.24864910293297</v>
      </c>
      <c r="E61" s="11">
        <v>7</v>
      </c>
      <c r="F61" s="11">
        <v>423.09149291551398</v>
      </c>
      <c r="G61" s="11">
        <v>7</v>
      </c>
      <c r="H61" s="11">
        <v>452.310990388645</v>
      </c>
    </row>
    <row r="62" spans="1:8" x14ac:dyDescent="0.25">
      <c r="A62" s="11">
        <v>-6.5</v>
      </c>
      <c r="B62" s="11">
        <v>-551.34357160644799</v>
      </c>
      <c r="C62" s="11">
        <v>7.25</v>
      </c>
      <c r="D62" s="11">
        <v>424.68986858930401</v>
      </c>
      <c r="E62" s="11">
        <v>7.25</v>
      </c>
      <c r="F62" s="11">
        <v>437.98776012972701</v>
      </c>
      <c r="G62" s="11">
        <v>7.25</v>
      </c>
      <c r="H62" s="11">
        <v>468.22771125074797</v>
      </c>
    </row>
    <row r="63" spans="1:8" x14ac:dyDescent="0.25">
      <c r="A63" s="11">
        <v>-7</v>
      </c>
      <c r="B63" s="11">
        <v>-592.51507589544303</v>
      </c>
      <c r="C63" s="11">
        <v>7.5</v>
      </c>
      <c r="D63" s="11">
        <v>439.10292299047302</v>
      </c>
      <c r="E63" s="11">
        <v>7.5</v>
      </c>
      <c r="F63" s="11">
        <v>452.85481771040901</v>
      </c>
      <c r="G63" s="11">
        <v>7.5</v>
      </c>
      <c r="H63" s="11">
        <v>484.11730011225899</v>
      </c>
    </row>
    <row r="64" spans="1:8" x14ac:dyDescent="0.25">
      <c r="A64" s="11">
        <v>-7.5</v>
      </c>
      <c r="B64" s="11">
        <v>-633.46272981771995</v>
      </c>
      <c r="C64" s="11">
        <v>7.75</v>
      </c>
      <c r="D64" s="11">
        <v>453.49154996937602</v>
      </c>
      <c r="E64" s="11">
        <v>7.75</v>
      </c>
      <c r="F64" s="11">
        <v>467.69535638848299</v>
      </c>
      <c r="G64" s="11">
        <v>7.75</v>
      </c>
      <c r="H64" s="11">
        <v>499.97218042659</v>
      </c>
    </row>
    <row r="65" spans="1:8" x14ac:dyDescent="0.25">
      <c r="A65" s="11">
        <v>-8</v>
      </c>
      <c r="B65" s="11">
        <v>-674.15323293532003</v>
      </c>
      <c r="C65" s="11">
        <v>8</v>
      </c>
      <c r="D65" s="11">
        <v>467.85105389715397</v>
      </c>
      <c r="E65" s="11">
        <v>8</v>
      </c>
      <c r="F65" s="11">
        <v>482.50485938243401</v>
      </c>
      <c r="G65" s="11">
        <v>8</v>
      </c>
      <c r="H65" s="11">
        <v>515.79257874989605</v>
      </c>
    </row>
    <row r="66" spans="1:8" x14ac:dyDescent="0.25">
      <c r="A66" s="11">
        <v>-7.5</v>
      </c>
      <c r="B66" s="11">
        <v>-631.90175506148103</v>
      </c>
      <c r="C66" s="11">
        <v>7.75</v>
      </c>
      <c r="D66" s="11">
        <v>453.06894086785002</v>
      </c>
      <c r="E66" s="11">
        <v>7.75</v>
      </c>
      <c r="F66" s="11">
        <v>467.27014700168701</v>
      </c>
      <c r="G66" s="11">
        <v>7.75</v>
      </c>
      <c r="H66" s="11">
        <v>499.51683169827601</v>
      </c>
    </row>
    <row r="67" spans="1:8" x14ac:dyDescent="0.25">
      <c r="A67" s="11">
        <v>-7</v>
      </c>
      <c r="B67" s="11">
        <v>-589.65285568316597</v>
      </c>
      <c r="C67" s="11">
        <v>7.5</v>
      </c>
      <c r="D67" s="11">
        <v>438.28700122087201</v>
      </c>
      <c r="E67" s="11">
        <v>7.5</v>
      </c>
      <c r="F67" s="11">
        <v>452.03559726412499</v>
      </c>
      <c r="G67" s="11">
        <v>7.5</v>
      </c>
      <c r="H67" s="11">
        <v>483.24122069682301</v>
      </c>
    </row>
    <row r="68" spans="1:8" x14ac:dyDescent="0.25">
      <c r="A68" s="11">
        <v>-6.5</v>
      </c>
      <c r="B68" s="11">
        <v>-547.40637875932202</v>
      </c>
      <c r="C68" s="11">
        <v>7.25</v>
      </c>
      <c r="D68" s="11">
        <v>423.50525918943902</v>
      </c>
      <c r="E68" s="11">
        <v>7.25</v>
      </c>
      <c r="F68" s="11">
        <v>436.80118524604302</v>
      </c>
      <c r="G68" s="11">
        <v>7.25</v>
      </c>
      <c r="H68" s="11">
        <v>466.96573882197703</v>
      </c>
    </row>
    <row r="69" spans="1:8" x14ac:dyDescent="0.25">
      <c r="A69" s="11">
        <v>-6</v>
      </c>
      <c r="B69" s="11">
        <v>-505.16231157555802</v>
      </c>
      <c r="C69" s="11">
        <v>7</v>
      </c>
      <c r="D69" s="11">
        <v>408.72371691213601</v>
      </c>
      <c r="E69" s="11">
        <v>7</v>
      </c>
      <c r="F69" s="11">
        <v>421.566942880206</v>
      </c>
      <c r="G69" s="11">
        <v>7</v>
      </c>
      <c r="H69" s="11">
        <v>450.69042146259301</v>
      </c>
    </row>
    <row r="70" spans="1:8" x14ac:dyDescent="0.25">
      <c r="A70" s="11">
        <v>-5.5</v>
      </c>
      <c r="B70" s="11">
        <v>-462.921289503987</v>
      </c>
      <c r="C70" s="11">
        <v>6.75</v>
      </c>
      <c r="D70" s="11">
        <v>393.94234748435002</v>
      </c>
      <c r="E70" s="11">
        <v>6.75</v>
      </c>
      <c r="F70" s="11">
        <v>406.332845534596</v>
      </c>
      <c r="G70" s="11">
        <v>6.75</v>
      </c>
      <c r="H70" s="11">
        <v>434.41521761448598</v>
      </c>
    </row>
    <row r="71" spans="1:8" x14ac:dyDescent="0.25">
      <c r="A71" s="11">
        <v>-5</v>
      </c>
      <c r="B71" s="11">
        <v>-420.68364927018098</v>
      </c>
      <c r="C71" s="11">
        <v>6.5</v>
      </c>
      <c r="D71" s="11">
        <v>379.16117152124099</v>
      </c>
      <c r="E71" s="11">
        <v>6.5</v>
      </c>
      <c r="F71" s="11">
        <v>391.09891903157501</v>
      </c>
      <c r="G71" s="11">
        <v>6.5</v>
      </c>
      <c r="H71" s="11">
        <v>418.14013700925398</v>
      </c>
    </row>
    <row r="72" spans="1:8" x14ac:dyDescent="0.25">
      <c r="A72" s="11">
        <v>-4.5</v>
      </c>
      <c r="B72" s="11">
        <v>-378.449626371379</v>
      </c>
      <c r="C72" s="11">
        <v>6.25</v>
      </c>
      <c r="D72" s="11">
        <v>364.380172272913</v>
      </c>
      <c r="E72" s="11">
        <v>6.25</v>
      </c>
      <c r="F72" s="11">
        <v>375.86516709226402</v>
      </c>
      <c r="G72" s="11">
        <v>6.25</v>
      </c>
      <c r="H72" s="11">
        <v>401.86519830109899</v>
      </c>
    </row>
    <row r="73" spans="1:8" x14ac:dyDescent="0.25">
      <c r="A73" s="11">
        <v>-4</v>
      </c>
      <c r="B73" s="11">
        <v>-336.21992901565898</v>
      </c>
      <c r="C73" s="11">
        <v>6</v>
      </c>
      <c r="D73" s="11">
        <v>349.59932021403</v>
      </c>
      <c r="E73" s="11">
        <v>6</v>
      </c>
      <c r="F73" s="11">
        <v>360.63157522363201</v>
      </c>
      <c r="G73" s="11">
        <v>6</v>
      </c>
      <c r="H73" s="11">
        <v>385.59039810486399</v>
      </c>
    </row>
    <row r="74" spans="1:8" x14ac:dyDescent="0.25">
      <c r="A74" s="11">
        <v>-3.5</v>
      </c>
      <c r="B74" s="11">
        <v>-293.995262135063</v>
      </c>
      <c r="C74" s="11">
        <v>5.75</v>
      </c>
      <c r="D74" s="11">
        <v>334.81862198012698</v>
      </c>
      <c r="E74" s="11">
        <v>5.75</v>
      </c>
      <c r="F74" s="11">
        <v>345.39816267122097</v>
      </c>
      <c r="G74" s="11">
        <v>5.75</v>
      </c>
      <c r="H74" s="11">
        <v>369.31575893247901</v>
      </c>
    </row>
    <row r="75" spans="1:8" x14ac:dyDescent="0.25">
      <c r="A75" s="11">
        <v>-3</v>
      </c>
      <c r="B75" s="11">
        <v>-251.781116058561</v>
      </c>
      <c r="C75" s="11">
        <v>5.5</v>
      </c>
      <c r="D75" s="11">
        <v>320.03806312762902</v>
      </c>
      <c r="E75" s="11">
        <v>5.5</v>
      </c>
      <c r="F75" s="11">
        <v>330.16487075962402</v>
      </c>
      <c r="G75" s="11">
        <v>5.5</v>
      </c>
      <c r="H75" s="11">
        <v>353.041291559027</v>
      </c>
    </row>
    <row r="76" spans="1:8" x14ac:dyDescent="0.25">
      <c r="A76" s="11">
        <v>-2.5</v>
      </c>
      <c r="B76" s="11">
        <v>-209.58250011176699</v>
      </c>
      <c r="C76" s="11">
        <v>5.25</v>
      </c>
      <c r="D76" s="11">
        <v>305.25763810433199</v>
      </c>
      <c r="E76" s="11">
        <v>5.25</v>
      </c>
      <c r="F76" s="11">
        <v>314.93173496091299</v>
      </c>
      <c r="G76" s="11">
        <v>5.25</v>
      </c>
      <c r="H76" s="11">
        <v>336.76700956001099</v>
      </c>
    </row>
    <row r="77" spans="1:8" x14ac:dyDescent="0.25">
      <c r="A77" s="11">
        <v>-2</v>
      </c>
      <c r="B77" s="11">
        <v>-167.41087853694799</v>
      </c>
      <c r="C77" s="11">
        <v>5</v>
      </c>
      <c r="D77" s="11">
        <v>290.477388370575</v>
      </c>
      <c r="E77" s="11">
        <v>5</v>
      </c>
      <c r="F77" s="11">
        <v>299.69869887965098</v>
      </c>
      <c r="G77" s="11">
        <v>5</v>
      </c>
      <c r="H77" s="11">
        <v>320.49293685576498</v>
      </c>
    </row>
    <row r="78" spans="1:8" x14ac:dyDescent="0.25">
      <c r="A78" s="11">
        <v>-1.5</v>
      </c>
      <c r="B78" s="11">
        <v>-125.284328932626</v>
      </c>
      <c r="C78" s="11">
        <v>4.75</v>
      </c>
      <c r="D78" s="11">
        <v>275.697350175135</v>
      </c>
      <c r="E78" s="11">
        <v>4.75</v>
      </c>
      <c r="F78" s="11">
        <v>284.465767530704</v>
      </c>
      <c r="G78" s="11">
        <v>4.75</v>
      </c>
      <c r="H78" s="11">
        <v>304.218912941545</v>
      </c>
    </row>
    <row r="79" spans="1:8" x14ac:dyDescent="0.25">
      <c r="A79" s="11">
        <v>-1</v>
      </c>
      <c r="B79" s="11">
        <v>-83.224114039605595</v>
      </c>
      <c r="C79" s="11">
        <v>4.5</v>
      </c>
      <c r="D79" s="11">
        <v>260.91755332999497</v>
      </c>
      <c r="E79" s="11">
        <v>4.5</v>
      </c>
      <c r="F79" s="11">
        <v>269.233050608837</v>
      </c>
      <c r="G79" s="11">
        <v>4.5</v>
      </c>
      <c r="H79" s="11">
        <v>287.94508553066203</v>
      </c>
    </row>
    <row r="80" spans="1:8" x14ac:dyDescent="0.25">
      <c r="A80" s="11">
        <v>-0.5</v>
      </c>
      <c r="B80" s="11">
        <v>-41.195338025058099</v>
      </c>
      <c r="C80" s="11">
        <v>4.25</v>
      </c>
      <c r="D80" s="11">
        <v>246.137779336515</v>
      </c>
      <c r="E80" s="11">
        <v>4.25</v>
      </c>
      <c r="F80" s="11">
        <v>254.00070222606999</v>
      </c>
      <c r="G80" s="11">
        <v>4.25</v>
      </c>
      <c r="H80" s="11">
        <v>271.67140307086299</v>
      </c>
    </row>
    <row r="81" spans="1:8" x14ac:dyDescent="0.25">
      <c r="A81" s="11">
        <v>0</v>
      </c>
      <c r="B81" s="11">
        <v>0.85639106581723801</v>
      </c>
      <c r="C81" s="11">
        <v>4</v>
      </c>
      <c r="D81" s="11">
        <v>231.358318084182</v>
      </c>
      <c r="E81" s="11">
        <v>4</v>
      </c>
      <c r="F81" s="11">
        <v>238.76843751826499</v>
      </c>
      <c r="G81" s="11">
        <v>4</v>
      </c>
      <c r="H81" s="11">
        <v>255.397970701943</v>
      </c>
    </row>
    <row r="82" spans="1:8" x14ac:dyDescent="0.25">
      <c r="A82" s="11">
        <v>0.5</v>
      </c>
      <c r="B82" s="11">
        <v>42.888286732697097</v>
      </c>
      <c r="C82" s="11">
        <v>3.75</v>
      </c>
      <c r="D82" s="11">
        <v>216.579275456993</v>
      </c>
      <c r="E82" s="11">
        <v>3.75</v>
      </c>
      <c r="F82" s="11">
        <v>223.53637713798</v>
      </c>
      <c r="G82" s="11">
        <v>3.75</v>
      </c>
      <c r="H82" s="11">
        <v>239.124997517888</v>
      </c>
    </row>
    <row r="83" spans="1:8" x14ac:dyDescent="0.25">
      <c r="A83" s="11">
        <v>1</v>
      </c>
      <c r="B83" s="11">
        <v>84.869732132982904</v>
      </c>
      <c r="C83" s="11">
        <v>3.5</v>
      </c>
      <c r="D83" s="11">
        <v>201.80091190602599</v>
      </c>
      <c r="E83" s="11">
        <v>3.5</v>
      </c>
      <c r="F83" s="11">
        <v>208.30499957410601</v>
      </c>
      <c r="G83" s="11">
        <v>3.5</v>
      </c>
      <c r="H83" s="11">
        <v>222.85197209390699</v>
      </c>
    </row>
    <row r="84" spans="1:8" x14ac:dyDescent="0.25">
      <c r="A84" s="11">
        <v>1.5</v>
      </c>
      <c r="B84" s="11">
        <v>126.874572134575</v>
      </c>
      <c r="C84" s="11">
        <v>3.25</v>
      </c>
      <c r="D84" s="11">
        <v>187.022740080982</v>
      </c>
      <c r="E84" s="11">
        <v>3.25</v>
      </c>
      <c r="F84" s="11">
        <v>193.07357627350399</v>
      </c>
      <c r="G84" s="11">
        <v>3.25</v>
      </c>
      <c r="H84" s="11">
        <v>206.579799210727</v>
      </c>
    </row>
    <row r="85" spans="1:8" x14ac:dyDescent="0.25">
      <c r="A85" s="11">
        <v>2</v>
      </c>
      <c r="B85" s="11">
        <v>168.932322514943</v>
      </c>
      <c r="C85" s="11">
        <v>3</v>
      </c>
      <c r="D85" s="11">
        <v>172.24463341179799</v>
      </c>
      <c r="E85" s="11">
        <v>3</v>
      </c>
      <c r="F85" s="11">
        <v>177.84379537652299</v>
      </c>
      <c r="G85" s="11">
        <v>3</v>
      </c>
      <c r="H85" s="11">
        <v>190.30817117533201</v>
      </c>
    </row>
    <row r="86" spans="1:8" x14ac:dyDescent="0.25">
      <c r="A86" s="11">
        <v>2.5</v>
      </c>
      <c r="B86" s="11">
        <v>211.017870652266</v>
      </c>
      <c r="C86" s="11">
        <v>2.75</v>
      </c>
      <c r="D86" s="11">
        <v>157.46733955078901</v>
      </c>
      <c r="E86" s="11">
        <v>2.75</v>
      </c>
      <c r="F86" s="11">
        <v>162.61330396622299</v>
      </c>
      <c r="G86" s="11">
        <v>2.75</v>
      </c>
      <c r="H86" s="11">
        <v>174.03811000678499</v>
      </c>
    </row>
    <row r="87" spans="1:8" x14ac:dyDescent="0.25">
      <c r="A87" s="11">
        <v>3</v>
      </c>
      <c r="B87" s="11">
        <v>253.14405556077401</v>
      </c>
      <c r="C87" s="11">
        <v>2.5</v>
      </c>
      <c r="D87" s="11">
        <v>142.69146724644401</v>
      </c>
      <c r="E87" s="11">
        <v>2.5</v>
      </c>
      <c r="F87" s="11">
        <v>147.38431526854899</v>
      </c>
      <c r="G87" s="11">
        <v>2.5</v>
      </c>
      <c r="H87" s="11">
        <v>157.76794593518099</v>
      </c>
    </row>
    <row r="88" spans="1:8" x14ac:dyDescent="0.25">
      <c r="A88" s="11">
        <v>3.5</v>
      </c>
      <c r="B88" s="11">
        <v>295.27211014760002</v>
      </c>
      <c r="C88" s="11">
        <v>2.25</v>
      </c>
      <c r="D88" s="11">
        <v>127.915936922108</v>
      </c>
      <c r="E88" s="11">
        <v>2.25</v>
      </c>
      <c r="F88" s="11">
        <v>132.15697140799199</v>
      </c>
      <c r="G88" s="11">
        <v>2.25</v>
      </c>
      <c r="H88" s="11">
        <v>141.49968854160301</v>
      </c>
    </row>
    <row r="89" spans="1:8" x14ac:dyDescent="0.25">
      <c r="A89" s="11">
        <v>4</v>
      </c>
      <c r="B89" s="11">
        <v>337.40834344061199</v>
      </c>
      <c r="C89" s="11">
        <v>2</v>
      </c>
      <c r="D89" s="11">
        <v>113.14174965212599</v>
      </c>
      <c r="E89" s="11">
        <v>2</v>
      </c>
      <c r="F89" s="11">
        <v>116.929785674699</v>
      </c>
      <c r="G89" s="11">
        <v>2</v>
      </c>
      <c r="H89" s="11">
        <v>125.23297417858601</v>
      </c>
    </row>
    <row r="90" spans="1:8" x14ac:dyDescent="0.25">
      <c r="A90" s="11">
        <v>4.5</v>
      </c>
      <c r="B90" s="11">
        <v>379.54311121184099</v>
      </c>
      <c r="C90" s="11">
        <v>1.75</v>
      </c>
      <c r="D90" s="11">
        <v>98.370251902011702</v>
      </c>
      <c r="E90" s="11">
        <v>1.75</v>
      </c>
      <c r="F90" s="11">
        <v>101.705018556071</v>
      </c>
      <c r="G90" s="11">
        <v>1.75</v>
      </c>
      <c r="H90" s="11">
        <v>108.966817844798</v>
      </c>
    </row>
    <row r="91" spans="1:8" x14ac:dyDescent="0.25">
      <c r="A91" s="11">
        <v>5</v>
      </c>
      <c r="B91" s="11">
        <v>421.67100833008499</v>
      </c>
      <c r="C91" s="11">
        <v>1.5</v>
      </c>
      <c r="D91" s="11">
        <v>83.598715298939993</v>
      </c>
      <c r="E91" s="11">
        <v>1.5</v>
      </c>
      <c r="F91" s="11">
        <v>86.483118489876702</v>
      </c>
      <c r="G91" s="11">
        <v>1.5</v>
      </c>
      <c r="H91" s="11">
        <v>92.706739570164402</v>
      </c>
    </row>
    <row r="92" spans="1:8" x14ac:dyDescent="0.25">
      <c r="A92" s="11">
        <v>5.5</v>
      </c>
      <c r="B92" s="11">
        <v>463.802747901175</v>
      </c>
      <c r="C92" s="11">
        <v>1.25</v>
      </c>
      <c r="D92" s="11">
        <v>68.829390239879601</v>
      </c>
      <c r="E92" s="11">
        <v>1.25</v>
      </c>
      <c r="F92" s="11">
        <v>71.260661728468193</v>
      </c>
      <c r="G92" s="11">
        <v>1.25</v>
      </c>
      <c r="H92" s="11">
        <v>76.445723805131195</v>
      </c>
    </row>
    <row r="93" spans="1:8" x14ac:dyDescent="0.25">
      <c r="A93" s="11">
        <v>6</v>
      </c>
      <c r="B93" s="11">
        <v>505.94374842750699</v>
      </c>
      <c r="C93" s="11">
        <v>1</v>
      </c>
      <c r="D93" s="11">
        <v>54.056188646436397</v>
      </c>
      <c r="E93" s="11">
        <v>1</v>
      </c>
      <c r="F93" s="11">
        <v>56.0389755593757</v>
      </c>
      <c r="G93" s="11">
        <v>1</v>
      </c>
      <c r="H93" s="11">
        <v>60.188022648092598</v>
      </c>
    </row>
    <row r="94" spans="1:8" x14ac:dyDescent="0.25">
      <c r="A94" s="11">
        <v>6.5</v>
      </c>
      <c r="B94" s="11">
        <v>548.08815765939505</v>
      </c>
      <c r="C94" s="11">
        <v>0.75</v>
      </c>
      <c r="D94" s="11">
        <v>39.284026196241598</v>
      </c>
      <c r="E94" s="11">
        <v>0.75</v>
      </c>
      <c r="F94" s="11">
        <v>40.8149169022536</v>
      </c>
      <c r="G94" s="11">
        <v>0.75</v>
      </c>
      <c r="H94" s="11">
        <v>43.925335881984097</v>
      </c>
    </row>
    <row r="95" spans="1:8" x14ac:dyDescent="0.25">
      <c r="A95" s="11">
        <v>7</v>
      </c>
      <c r="B95" s="11">
        <v>590.22203052329701</v>
      </c>
      <c r="C95" s="11">
        <v>0.5</v>
      </c>
      <c r="D95" s="11">
        <v>24.5118117721861</v>
      </c>
      <c r="E95" s="11">
        <v>0.5</v>
      </c>
      <c r="F95" s="11">
        <v>25.5915799123634</v>
      </c>
      <c r="G95" s="11">
        <v>0.5</v>
      </c>
      <c r="H95" s="11">
        <v>27.664142882398</v>
      </c>
    </row>
    <row r="96" spans="1:8" x14ac:dyDescent="0.25">
      <c r="A96" s="11">
        <v>7.5</v>
      </c>
      <c r="B96" s="11">
        <v>632.35592800003894</v>
      </c>
      <c r="C96" s="11">
        <v>0.25</v>
      </c>
      <c r="D96" s="11">
        <v>9.7360203552517799</v>
      </c>
      <c r="E96" s="11">
        <v>0.25</v>
      </c>
      <c r="F96" s="11">
        <v>10.3632592386673</v>
      </c>
      <c r="G96" s="11">
        <v>0.25</v>
      </c>
      <c r="H96" s="11">
        <v>11.397142241884</v>
      </c>
    </row>
    <row r="97" spans="1:8" x14ac:dyDescent="0.25">
      <c r="A97" s="11">
        <v>8</v>
      </c>
      <c r="B97" s="11">
        <v>674.200294921607</v>
      </c>
      <c r="C97" s="11">
        <v>0</v>
      </c>
      <c r="D97" s="11">
        <v>-5.0402500268311599</v>
      </c>
      <c r="E97" s="11">
        <v>0</v>
      </c>
      <c r="F97" s="11">
        <v>-4.86496322571017</v>
      </c>
      <c r="G97" s="11">
        <v>0</v>
      </c>
      <c r="H97" s="11">
        <v>-4.8709908953252397</v>
      </c>
    </row>
    <row r="98" spans="1:8" x14ac:dyDescent="0.25">
      <c r="A98" s="11">
        <v>8.5</v>
      </c>
      <c r="B98" s="11">
        <v>714.52797757569704</v>
      </c>
      <c r="C98" s="11">
        <v>-0.25</v>
      </c>
      <c r="D98" s="11">
        <v>-19.813615107615</v>
      </c>
      <c r="E98" s="11">
        <v>-0.25</v>
      </c>
      <c r="F98" s="11">
        <v>-20.089130828877099</v>
      </c>
      <c r="G98" s="11">
        <v>-0.25</v>
      </c>
      <c r="H98" s="11">
        <v>-21.132736659828499</v>
      </c>
    </row>
    <row r="99" spans="1:8" x14ac:dyDescent="0.25">
      <c r="A99" s="11">
        <v>9</v>
      </c>
      <c r="B99" s="11">
        <v>754.52406186774795</v>
      </c>
      <c r="C99" s="11">
        <v>-0.5</v>
      </c>
      <c r="D99" s="11">
        <v>-34.580248775663499</v>
      </c>
      <c r="E99" s="11">
        <v>-0.5</v>
      </c>
      <c r="F99" s="11">
        <v>-35.303768582168502</v>
      </c>
      <c r="G99" s="11">
        <v>-0.5</v>
      </c>
      <c r="H99" s="11">
        <v>-37.380436765578899</v>
      </c>
    </row>
    <row r="100" spans="1:8" x14ac:dyDescent="0.25">
      <c r="A100" s="11">
        <v>9.5</v>
      </c>
      <c r="B100" s="11">
        <v>794.12065038855405</v>
      </c>
      <c r="C100" s="11">
        <v>-0.75</v>
      </c>
      <c r="D100" s="11">
        <v>-49.338989824356297</v>
      </c>
      <c r="E100" s="11">
        <v>-0.75</v>
      </c>
      <c r="F100" s="11">
        <v>-50.510894894197698</v>
      </c>
      <c r="G100" s="11">
        <v>-0.75</v>
      </c>
      <c r="H100" s="11">
        <v>-53.619035618240197</v>
      </c>
    </row>
    <row r="101" spans="1:8" x14ac:dyDescent="0.25">
      <c r="A101" s="11">
        <v>10</v>
      </c>
      <c r="B101" s="11">
        <v>833.28870382009495</v>
      </c>
      <c r="C101" s="11">
        <v>-1</v>
      </c>
      <c r="D101" s="11">
        <v>-64.094228555822994</v>
      </c>
      <c r="E101" s="11">
        <v>-1</v>
      </c>
      <c r="F101" s="11">
        <v>-65.711851148309805</v>
      </c>
      <c r="G101" s="11">
        <v>-1</v>
      </c>
      <c r="H101" s="11">
        <v>-69.849401812036504</v>
      </c>
    </row>
    <row r="102" spans="1:8" x14ac:dyDescent="0.25">
      <c r="A102" s="11">
        <v>10.5</v>
      </c>
      <c r="B102" s="11">
        <v>872.02069539480601</v>
      </c>
      <c r="C102" s="11">
        <v>-1.25</v>
      </c>
      <c r="D102" s="11">
        <v>-78.840113088606103</v>
      </c>
      <c r="E102" s="11">
        <v>-1.25</v>
      </c>
      <c r="F102" s="11">
        <v>-80.912628656071902</v>
      </c>
      <c r="G102" s="11">
        <v>-1.25</v>
      </c>
      <c r="H102" s="11">
        <v>-86.0859602174001</v>
      </c>
    </row>
    <row r="103" spans="1:8" x14ac:dyDescent="0.25">
      <c r="A103" s="11">
        <v>11</v>
      </c>
      <c r="B103" s="11">
        <v>910.30208557780702</v>
      </c>
      <c r="C103" s="11">
        <v>-1.5</v>
      </c>
      <c r="D103" s="11">
        <v>-93.594574528609897</v>
      </c>
      <c r="E103" s="11">
        <v>-1.5</v>
      </c>
      <c r="F103" s="11">
        <v>-96.116189542176301</v>
      </c>
      <c r="G103" s="11">
        <v>-1.5</v>
      </c>
      <c r="H103" s="11">
        <v>-102.33594905125599</v>
      </c>
    </row>
    <row r="104" spans="1:8" x14ac:dyDescent="0.25">
      <c r="A104" s="11">
        <v>11.5</v>
      </c>
      <c r="B104" s="11">
        <v>948.12443482174399</v>
      </c>
      <c r="C104" s="11">
        <v>-1.75</v>
      </c>
      <c r="D104" s="11">
        <v>-108.34796101404299</v>
      </c>
      <c r="E104" s="11">
        <v>-1.75</v>
      </c>
      <c r="F104" s="11">
        <v>-111.32827088553</v>
      </c>
      <c r="G104" s="11">
        <v>-1.75</v>
      </c>
      <c r="H104" s="11">
        <v>-118.585617220336</v>
      </c>
    </row>
    <row r="105" spans="1:8" x14ac:dyDescent="0.25">
      <c r="A105" s="11">
        <v>12</v>
      </c>
      <c r="B105" s="11">
        <v>985.491537845518</v>
      </c>
      <c r="C105" s="11">
        <v>-2</v>
      </c>
      <c r="D105" s="11">
        <v>-123.084476822716</v>
      </c>
      <c r="E105" s="11">
        <v>-2</v>
      </c>
      <c r="F105" s="11">
        <v>-126.513834062664</v>
      </c>
      <c r="G105" s="11">
        <v>-2</v>
      </c>
      <c r="H105" s="11">
        <v>-134.826475363681</v>
      </c>
    </row>
    <row r="106" spans="1:8" x14ac:dyDescent="0.25">
      <c r="A106" s="11">
        <v>12.5</v>
      </c>
      <c r="B106" s="11">
        <v>1022.3970250587</v>
      </c>
      <c r="C106" s="11">
        <v>-2.25</v>
      </c>
      <c r="D106" s="11">
        <v>-137.70606074962001</v>
      </c>
      <c r="E106" s="11">
        <v>-2.25</v>
      </c>
      <c r="F106" s="11">
        <v>-141.604547763233</v>
      </c>
      <c r="G106" s="11">
        <v>-2.25</v>
      </c>
      <c r="H106" s="11">
        <v>-150.96536009041299</v>
      </c>
    </row>
    <row r="107" spans="1:8" x14ac:dyDescent="0.25">
      <c r="A107" s="11">
        <v>13</v>
      </c>
      <c r="B107" s="11">
        <v>1058.78569367559</v>
      </c>
      <c r="C107" s="11">
        <v>-2.5</v>
      </c>
      <c r="D107" s="11">
        <v>-152.332438502147</v>
      </c>
      <c r="E107" s="11">
        <v>-2.5</v>
      </c>
      <c r="F107" s="11">
        <v>-156.69465664904001</v>
      </c>
      <c r="G107" s="11">
        <v>-2.5</v>
      </c>
      <c r="H107" s="11">
        <v>-167.097468092681</v>
      </c>
    </row>
    <row r="108" spans="1:8" x14ac:dyDescent="0.25">
      <c r="A108" s="11">
        <v>13.5</v>
      </c>
      <c r="B108" s="11">
        <v>1094.6081689202099</v>
      </c>
      <c r="C108" s="11">
        <v>-2.75</v>
      </c>
      <c r="D108" s="11">
        <v>-166.95734216767801</v>
      </c>
      <c r="E108" s="11">
        <v>-2.75</v>
      </c>
      <c r="F108" s="11">
        <v>-171.77597010930799</v>
      </c>
      <c r="G108" s="11">
        <v>-2.75</v>
      </c>
      <c r="H108" s="11">
        <v>-183.23227333567701</v>
      </c>
    </row>
    <row r="109" spans="1:8" x14ac:dyDescent="0.25">
      <c r="A109" s="11">
        <v>14</v>
      </c>
      <c r="B109" s="11">
        <v>1129.91090546071</v>
      </c>
      <c r="C109" s="11">
        <v>-3</v>
      </c>
      <c r="D109" s="11">
        <v>-181.57313426195199</v>
      </c>
      <c r="E109" s="11">
        <v>-3</v>
      </c>
      <c r="F109" s="11">
        <v>-186.855786618775</v>
      </c>
      <c r="G109" s="11">
        <v>-3</v>
      </c>
      <c r="H109" s="11">
        <v>-199.36677426251299</v>
      </c>
    </row>
    <row r="110" spans="1:8" x14ac:dyDescent="0.25">
      <c r="A110" s="11">
        <v>14.5</v>
      </c>
      <c r="B110" s="11">
        <v>1164.63829531631</v>
      </c>
      <c r="C110" s="11">
        <v>-3.25</v>
      </c>
      <c r="D110" s="11">
        <v>-196.187670477392</v>
      </c>
      <c r="E110" s="11">
        <v>-3.25</v>
      </c>
      <c r="F110" s="11">
        <v>-201.93578178949801</v>
      </c>
      <c r="G110" s="11">
        <v>-3.25</v>
      </c>
      <c r="H110" s="11">
        <v>-215.49664111719201</v>
      </c>
    </row>
    <row r="111" spans="1:8" x14ac:dyDescent="0.25">
      <c r="A111" s="11">
        <v>15</v>
      </c>
      <c r="B111" s="11">
        <v>1198.76007805581</v>
      </c>
      <c r="C111" s="11">
        <v>-3.5</v>
      </c>
      <c r="D111" s="11">
        <v>-210.79669690953901</v>
      </c>
      <c r="E111" s="11">
        <v>-3.5</v>
      </c>
      <c r="F111" s="11">
        <v>-217.013664783629</v>
      </c>
      <c r="G111" s="11">
        <v>-3.5</v>
      </c>
      <c r="H111" s="11">
        <v>-231.620377857612</v>
      </c>
    </row>
    <row r="112" spans="1:8" x14ac:dyDescent="0.25">
      <c r="A112" s="11">
        <v>15.5</v>
      </c>
      <c r="B112" s="11">
        <v>1232.2800164007699</v>
      </c>
      <c r="C112" s="11">
        <v>-3.75</v>
      </c>
      <c r="D112" s="11">
        <v>-225.408808036344</v>
      </c>
      <c r="E112" s="11">
        <v>-3.75</v>
      </c>
      <c r="F112" s="11">
        <v>-232.08606470757701</v>
      </c>
      <c r="G112" s="11">
        <v>-3.75</v>
      </c>
      <c r="H112" s="11">
        <v>-247.74192267241699</v>
      </c>
    </row>
    <row r="113" spans="1:8" x14ac:dyDescent="0.25">
      <c r="A113" s="11">
        <v>16</v>
      </c>
      <c r="B113" s="11">
        <v>1265.24739152194</v>
      </c>
      <c r="C113" s="11">
        <v>-4</v>
      </c>
      <c r="D113" s="11">
        <v>-240.01431063576899</v>
      </c>
      <c r="E113" s="11">
        <v>-4</v>
      </c>
      <c r="F113" s="11">
        <v>-247.150909811563</v>
      </c>
      <c r="G113" s="11">
        <v>-4</v>
      </c>
      <c r="H113" s="11">
        <v>-263.85796994794299</v>
      </c>
    </row>
    <row r="114" spans="1:8" x14ac:dyDescent="0.25">
      <c r="A114" s="11">
        <v>16.5</v>
      </c>
      <c r="B114" s="11">
        <v>1297.60696642622</v>
      </c>
      <c r="C114" s="11">
        <v>-4.25</v>
      </c>
      <c r="D114" s="11">
        <v>-254.61066368664501</v>
      </c>
      <c r="E114" s="11">
        <v>-4.25</v>
      </c>
      <c r="F114" s="11">
        <v>-262.21235107996699</v>
      </c>
      <c r="G114" s="11">
        <v>-4.25</v>
      </c>
      <c r="H114" s="11">
        <v>-279.96619416555501</v>
      </c>
    </row>
    <row r="115" spans="1:8" x14ac:dyDescent="0.25">
      <c r="A115" s="11">
        <v>17</v>
      </c>
      <c r="B115" s="11">
        <v>1329.38511522203</v>
      </c>
      <c r="C115" s="11">
        <v>-4.5</v>
      </c>
      <c r="D115" s="11">
        <v>-269.202401832578</v>
      </c>
      <c r="E115" s="11">
        <v>-4.5</v>
      </c>
      <c r="F115" s="11">
        <v>-277.26513523022697</v>
      </c>
      <c r="G115" s="11">
        <v>-4.5</v>
      </c>
      <c r="H115" s="11">
        <v>-296.06154023723201</v>
      </c>
    </row>
    <row r="116" spans="1:8" x14ac:dyDescent="0.25">
      <c r="A116" s="11">
        <v>17.5</v>
      </c>
      <c r="B116" s="11">
        <v>1360.6070019691999</v>
      </c>
      <c r="C116" s="11">
        <v>-4.75</v>
      </c>
      <c r="D116" s="11">
        <v>-283.78314981504298</v>
      </c>
      <c r="E116" s="11">
        <v>-4.75</v>
      </c>
      <c r="F116" s="11">
        <v>-292.31020241710797</v>
      </c>
      <c r="G116" s="11">
        <v>-4.75</v>
      </c>
      <c r="H116" s="11">
        <v>-312.14666588759502</v>
      </c>
    </row>
    <row r="117" spans="1:8" x14ac:dyDescent="0.25">
      <c r="A117" s="11">
        <v>18</v>
      </c>
      <c r="B117" s="11">
        <v>1391.2631915710699</v>
      </c>
      <c r="C117" s="11">
        <v>-5</v>
      </c>
      <c r="D117" s="11">
        <v>-298.35394553026202</v>
      </c>
      <c r="E117" s="11">
        <v>-5</v>
      </c>
      <c r="F117" s="11">
        <v>-307.34539971580699</v>
      </c>
      <c r="G117" s="11">
        <v>-5</v>
      </c>
      <c r="H117" s="11">
        <v>-328.219644297863</v>
      </c>
    </row>
    <row r="118" spans="1:8" x14ac:dyDescent="0.25">
      <c r="A118" s="11">
        <v>18.5</v>
      </c>
      <c r="B118" s="11">
        <v>1421.2907124523799</v>
      </c>
      <c r="C118" s="11">
        <v>-5.25</v>
      </c>
      <c r="D118" s="11">
        <v>-312.91621099499503</v>
      </c>
      <c r="E118" s="11">
        <v>-5.25</v>
      </c>
      <c r="F118" s="11">
        <v>-322.35816357023998</v>
      </c>
      <c r="G118" s="11">
        <v>-5.25</v>
      </c>
      <c r="H118" s="11">
        <v>-344.27271458979999</v>
      </c>
    </row>
    <row r="119" spans="1:8" x14ac:dyDescent="0.25">
      <c r="A119" s="11">
        <v>19</v>
      </c>
      <c r="B119" s="11">
        <v>1450.8243620891701</v>
      </c>
      <c r="C119" s="11">
        <v>-5.5</v>
      </c>
      <c r="D119" s="11">
        <v>-327.46120738099302</v>
      </c>
      <c r="E119" s="11">
        <v>-5.5</v>
      </c>
      <c r="F119" s="11">
        <v>-337.36059392989199</v>
      </c>
      <c r="G119" s="11">
        <v>-5.5</v>
      </c>
      <c r="H119" s="11">
        <v>-360.30742862236798</v>
      </c>
    </row>
    <row r="120" spans="1:8" x14ac:dyDescent="0.25">
      <c r="A120" s="11">
        <v>19.5</v>
      </c>
      <c r="B120" s="11">
        <v>1479.91569103606</v>
      </c>
      <c r="C120" s="11">
        <v>-5.75</v>
      </c>
      <c r="D120" s="11">
        <v>-341.98547979556599</v>
      </c>
      <c r="E120" s="11">
        <v>-5.75</v>
      </c>
      <c r="F120" s="11">
        <v>-352.34726360676399</v>
      </c>
      <c r="G120" s="11">
        <v>-5.75</v>
      </c>
      <c r="H120" s="11">
        <v>-376.330885302159</v>
      </c>
    </row>
    <row r="121" spans="1:8" x14ac:dyDescent="0.25">
      <c r="A121" s="11">
        <v>20</v>
      </c>
      <c r="B121" s="11">
        <v>1508.4473834876801</v>
      </c>
      <c r="C121" s="11">
        <v>-6</v>
      </c>
      <c r="D121" s="11">
        <v>-356.49501884749998</v>
      </c>
      <c r="E121" s="11">
        <v>-6</v>
      </c>
      <c r="F121" s="11">
        <v>-367.31437628611502</v>
      </c>
      <c r="G121" s="11">
        <v>-6</v>
      </c>
      <c r="H121" s="11">
        <v>-392.33400851020798</v>
      </c>
    </row>
    <row r="122" spans="1:8" x14ac:dyDescent="0.25">
      <c r="A122" s="11">
        <v>19.5</v>
      </c>
      <c r="B122" s="11">
        <v>1470.02735039352</v>
      </c>
      <c r="C122" s="11">
        <v>-6.25</v>
      </c>
      <c r="D122" s="11">
        <v>-370.98590363710701</v>
      </c>
      <c r="E122" s="11">
        <v>-6.25</v>
      </c>
      <c r="F122" s="11">
        <v>-382.26088322082899</v>
      </c>
      <c r="G122" s="11">
        <v>-6.25</v>
      </c>
      <c r="H122" s="11">
        <v>-408.31666682854598</v>
      </c>
    </row>
    <row r="123" spans="1:8" x14ac:dyDescent="0.25">
      <c r="A123" s="11">
        <v>19</v>
      </c>
      <c r="B123" s="11">
        <v>1431.6074689288</v>
      </c>
      <c r="C123" s="11">
        <v>-6.5</v>
      </c>
      <c r="D123" s="11">
        <v>-385.45210107189899</v>
      </c>
      <c r="E123" s="11">
        <v>-6.5</v>
      </c>
      <c r="F123" s="11">
        <v>-397.18171173010302</v>
      </c>
      <c r="G123" s="11">
        <v>-6.5</v>
      </c>
      <c r="H123" s="11">
        <v>-424.27825706384198</v>
      </c>
    </row>
    <row r="124" spans="1:8" x14ac:dyDescent="0.25">
      <c r="A124" s="11">
        <v>18.5</v>
      </c>
      <c r="B124" s="11">
        <v>1393.1877750173001</v>
      </c>
      <c r="C124" s="11">
        <v>-6.75</v>
      </c>
      <c r="D124" s="11">
        <v>-399.89535201157599</v>
      </c>
      <c r="E124" s="11">
        <v>-6.75</v>
      </c>
      <c r="F124" s="11">
        <v>-412.08520924861602</v>
      </c>
      <c r="G124" s="11">
        <v>-6.75</v>
      </c>
      <c r="H124" s="11">
        <v>-440.220223475723</v>
      </c>
    </row>
    <row r="125" spans="1:8" x14ac:dyDescent="0.25">
      <c r="A125" s="11">
        <v>18</v>
      </c>
      <c r="B125" s="11">
        <v>1354.7682625021801</v>
      </c>
      <c r="C125" s="11">
        <v>-7</v>
      </c>
      <c r="D125" s="11">
        <v>-414.320166259666</v>
      </c>
      <c r="E125" s="11">
        <v>-7</v>
      </c>
      <c r="F125" s="11">
        <v>-426.96873077591499</v>
      </c>
      <c r="G125" s="11">
        <v>-7</v>
      </c>
      <c r="H125" s="11">
        <v>-456.12951526089802</v>
      </c>
    </row>
    <row r="126" spans="1:8" x14ac:dyDescent="0.25">
      <c r="A126" s="11">
        <v>17.5</v>
      </c>
      <c r="B126" s="11">
        <v>1316.3489552101501</v>
      </c>
      <c r="C126" s="11">
        <v>-7.25</v>
      </c>
      <c r="D126" s="11">
        <v>-428.72076927588301</v>
      </c>
      <c r="E126" s="11">
        <v>-7.25</v>
      </c>
      <c r="F126" s="11">
        <v>-441.83039677498999</v>
      </c>
      <c r="G126" s="11">
        <v>-7.25</v>
      </c>
      <c r="H126" s="11">
        <v>-472.01639541777598</v>
      </c>
    </row>
    <row r="127" spans="1:8" x14ac:dyDescent="0.25">
      <c r="A127" s="11">
        <v>17</v>
      </c>
      <c r="B127" s="11">
        <v>1277.9299434234099</v>
      </c>
      <c r="C127" s="11">
        <v>-7.5</v>
      </c>
      <c r="D127" s="11">
        <v>-443.099716798298</v>
      </c>
      <c r="E127" s="11">
        <v>-7.5</v>
      </c>
      <c r="F127" s="11">
        <v>-456.66605677930301</v>
      </c>
      <c r="G127" s="11">
        <v>-7.5</v>
      </c>
      <c r="H127" s="11">
        <v>-487.87542685654699</v>
      </c>
    </row>
    <row r="128" spans="1:8" x14ac:dyDescent="0.25">
      <c r="A128" s="11">
        <v>16.5</v>
      </c>
      <c r="B128" s="11">
        <v>1239.51121515457</v>
      </c>
      <c r="C128" s="11">
        <v>-7.75</v>
      </c>
      <c r="D128" s="11">
        <v>-457.45932433800402</v>
      </c>
      <c r="E128" s="11">
        <v>-7.75</v>
      </c>
      <c r="F128" s="11">
        <v>-471.48227868070001</v>
      </c>
      <c r="G128" s="11">
        <v>-7.75</v>
      </c>
      <c r="H128" s="11">
        <v>-503.69915626531701</v>
      </c>
    </row>
    <row r="129" spans="1:8" x14ac:dyDescent="0.25">
      <c r="A129" s="11">
        <v>16</v>
      </c>
      <c r="B129" s="11">
        <v>1201.0927688760601</v>
      </c>
      <c r="C129" s="11">
        <v>-8</v>
      </c>
      <c r="D129" s="11">
        <v>-471.79600431509698</v>
      </c>
      <c r="E129" s="11">
        <v>-8</v>
      </c>
      <c r="F129" s="11">
        <v>-486.26939754943999</v>
      </c>
      <c r="G129" s="11">
        <v>-8</v>
      </c>
      <c r="H129" s="11">
        <v>-519.49495237399196</v>
      </c>
    </row>
    <row r="130" spans="1:8" x14ac:dyDescent="0.25">
      <c r="A130" s="11">
        <v>15.5</v>
      </c>
      <c r="B130" s="11">
        <v>1162.6746540090101</v>
      </c>
      <c r="C130" s="11">
        <v>-7.5</v>
      </c>
      <c r="D130" s="11">
        <v>-442.24131992769799</v>
      </c>
      <c r="E130" s="11">
        <v>-7.5</v>
      </c>
      <c r="F130" s="11">
        <v>-455.80990541645798</v>
      </c>
      <c r="G130" s="11">
        <v>-7.5</v>
      </c>
      <c r="H130" s="11">
        <v>-486.95455116296</v>
      </c>
    </row>
    <row r="131" spans="1:8" x14ac:dyDescent="0.25">
      <c r="A131" s="11">
        <v>15</v>
      </c>
      <c r="B131" s="11">
        <v>1124.2568965268199</v>
      </c>
      <c r="C131" s="11">
        <v>-7</v>
      </c>
      <c r="D131" s="11">
        <v>-412.68866424176298</v>
      </c>
      <c r="E131" s="11">
        <v>-7</v>
      </c>
      <c r="F131" s="11">
        <v>-425.35210240513499</v>
      </c>
      <c r="G131" s="11">
        <v>-7</v>
      </c>
      <c r="H131" s="11">
        <v>-454.415532938365</v>
      </c>
    </row>
    <row r="132" spans="1:8" x14ac:dyDescent="0.25">
      <c r="A132" s="11">
        <v>14.5</v>
      </c>
      <c r="B132" s="11">
        <v>1085.83960567439</v>
      </c>
      <c r="C132" s="11">
        <v>-6.5</v>
      </c>
      <c r="D132" s="11">
        <v>-383.13799983445398</v>
      </c>
      <c r="E132" s="11">
        <v>-6.5</v>
      </c>
      <c r="F132" s="11">
        <v>-394.89602941913699</v>
      </c>
      <c r="G132" s="11">
        <v>-6.5</v>
      </c>
      <c r="H132" s="11">
        <v>-421.87782679098501</v>
      </c>
    </row>
    <row r="133" spans="1:8" x14ac:dyDescent="0.25">
      <c r="A133" s="11">
        <v>14</v>
      </c>
      <c r="B133" s="11">
        <v>1047.4227800344299</v>
      </c>
      <c r="C133" s="11">
        <v>-6</v>
      </c>
      <c r="D133" s="11">
        <v>-353.589326329784</v>
      </c>
      <c r="E133" s="11">
        <v>-6</v>
      </c>
      <c r="F133" s="11">
        <v>-364.44200746241899</v>
      </c>
      <c r="G133" s="11">
        <v>-6</v>
      </c>
      <c r="H133" s="11">
        <v>-389.34161505175098</v>
      </c>
    </row>
    <row r="134" spans="1:8" x14ac:dyDescent="0.25">
      <c r="A134" s="11">
        <v>13.5</v>
      </c>
      <c r="B134" s="11">
        <v>1009.0064881503</v>
      </c>
      <c r="C134" s="11">
        <v>-5.5</v>
      </c>
      <c r="D134" s="11">
        <v>-324.04248284670501</v>
      </c>
      <c r="E134" s="11">
        <v>-5.5</v>
      </c>
      <c r="F134" s="11">
        <v>-333.98998617901702</v>
      </c>
      <c r="G134" s="11">
        <v>-5.5</v>
      </c>
      <c r="H134" s="11">
        <v>-356.80711639007097</v>
      </c>
    </row>
    <row r="135" spans="1:8" x14ac:dyDescent="0.25">
      <c r="A135" s="11">
        <v>13</v>
      </c>
      <c r="B135" s="11">
        <v>970.59073377972595</v>
      </c>
      <c r="C135" s="11">
        <v>-5</v>
      </c>
      <c r="D135" s="11">
        <v>-294.49781935563698</v>
      </c>
      <c r="E135" s="11">
        <v>-5</v>
      </c>
      <c r="F135" s="11">
        <v>-303.53983034488101</v>
      </c>
      <c r="G135" s="11">
        <v>-5</v>
      </c>
      <c r="H135" s="11">
        <v>-324.27484069526201</v>
      </c>
    </row>
    <row r="136" spans="1:8" x14ac:dyDescent="0.25">
      <c r="A136" s="11">
        <v>12.5</v>
      </c>
      <c r="B136" s="11">
        <v>932.17558213475195</v>
      </c>
      <c r="C136" s="11">
        <v>-4.5</v>
      </c>
      <c r="D136" s="11">
        <v>-264.957194262234</v>
      </c>
      <c r="E136" s="11">
        <v>-4.5</v>
      </c>
      <c r="F136" s="11">
        <v>-273.09206362531</v>
      </c>
      <c r="G136" s="11">
        <v>-4.5</v>
      </c>
      <c r="H136" s="11">
        <v>-291.74472565901999</v>
      </c>
    </row>
    <row r="137" spans="1:8" x14ac:dyDescent="0.25">
      <c r="A137" s="11">
        <v>12</v>
      </c>
      <c r="B137" s="11">
        <v>893.76114129187397</v>
      </c>
      <c r="C137" s="11">
        <v>-4</v>
      </c>
      <c r="D137" s="11">
        <v>-235.420154773571</v>
      </c>
      <c r="E137" s="11">
        <v>-4</v>
      </c>
      <c r="F137" s="11">
        <v>-242.648873856129</v>
      </c>
      <c r="G137" s="11">
        <v>-4</v>
      </c>
      <c r="H137" s="11">
        <v>-259.21673802906002</v>
      </c>
    </row>
    <row r="138" spans="1:8" x14ac:dyDescent="0.25">
      <c r="A138" s="11">
        <v>11.5</v>
      </c>
      <c r="B138" s="11">
        <v>855.34747044967105</v>
      </c>
      <c r="C138" s="11">
        <v>-3.5</v>
      </c>
      <c r="D138" s="11">
        <v>-205.88849510113701</v>
      </c>
      <c r="E138" s="11">
        <v>-3.5</v>
      </c>
      <c r="F138" s="11">
        <v>-212.210351089596</v>
      </c>
      <c r="G138" s="11">
        <v>-3.5</v>
      </c>
      <c r="H138" s="11">
        <v>-226.69369793881501</v>
      </c>
    </row>
    <row r="139" spans="1:8" x14ac:dyDescent="0.25">
      <c r="A139" s="11">
        <v>11</v>
      </c>
      <c r="B139" s="11">
        <v>816.93466430862895</v>
      </c>
      <c r="C139" s="11">
        <v>-3</v>
      </c>
      <c r="D139" s="11">
        <v>-176.36586774895599</v>
      </c>
      <c r="E139" s="11">
        <v>-3</v>
      </c>
      <c r="F139" s="11">
        <v>-181.779718794818</v>
      </c>
      <c r="G139" s="11">
        <v>-3</v>
      </c>
      <c r="H139" s="11">
        <v>-194.17741084246401</v>
      </c>
    </row>
    <row r="140" spans="1:8" x14ac:dyDescent="0.25">
      <c r="A140" s="11">
        <v>10.5</v>
      </c>
      <c r="B140" s="11">
        <v>778.52276043813504</v>
      </c>
      <c r="C140" s="11">
        <v>-2.5</v>
      </c>
      <c r="D140" s="11">
        <v>-146.853753461271</v>
      </c>
      <c r="E140" s="11">
        <v>-2.5</v>
      </c>
      <c r="F140" s="11">
        <v>-151.35944292141599</v>
      </c>
      <c r="G140" s="11">
        <v>-2.5</v>
      </c>
      <c r="H140" s="11">
        <v>-161.672949389118</v>
      </c>
    </row>
    <row r="141" spans="1:8" x14ac:dyDescent="0.25">
      <c r="A141" s="11">
        <v>10</v>
      </c>
      <c r="B141" s="11">
        <v>740.11213692612898</v>
      </c>
      <c r="C141" s="11">
        <v>-2</v>
      </c>
      <c r="D141" s="11">
        <v>-117.353594752147</v>
      </c>
      <c r="E141" s="11">
        <v>-2</v>
      </c>
      <c r="F141" s="11">
        <v>-120.95509370883499</v>
      </c>
      <c r="G141" s="11">
        <v>-2</v>
      </c>
      <c r="H141" s="11">
        <v>-129.18646578560899</v>
      </c>
    </row>
    <row r="142" spans="1:8" x14ac:dyDescent="0.25">
      <c r="A142" s="11">
        <v>9.5</v>
      </c>
      <c r="B142" s="11">
        <v>701.70282110423898</v>
      </c>
      <c r="C142" s="11">
        <v>-1.5</v>
      </c>
      <c r="D142" s="11">
        <v>-87.871913801245796</v>
      </c>
      <c r="E142" s="11">
        <v>-1.5</v>
      </c>
      <c r="F142" s="11">
        <v>-90.568813076893306</v>
      </c>
      <c r="G142" s="11">
        <v>-1.5</v>
      </c>
      <c r="H142" s="11">
        <v>-96.721182856955295</v>
      </c>
    </row>
    <row r="143" spans="1:8" x14ac:dyDescent="0.25">
      <c r="A143" s="11">
        <v>9</v>
      </c>
      <c r="B143" s="11">
        <v>663.29479382692705</v>
      </c>
      <c r="C143" s="11">
        <v>-1</v>
      </c>
      <c r="D143" s="11">
        <v>-58.398724481373598</v>
      </c>
      <c r="E143" s="11">
        <v>-1</v>
      </c>
      <c r="F143" s="11">
        <v>-60.199066739060399</v>
      </c>
      <c r="G143" s="11">
        <v>-1</v>
      </c>
      <c r="H143" s="11">
        <v>-64.284055476601594</v>
      </c>
    </row>
    <row r="144" spans="1:8" x14ac:dyDescent="0.25">
      <c r="A144" s="11">
        <v>8.5</v>
      </c>
      <c r="B144" s="11">
        <v>624.88804023921705</v>
      </c>
      <c r="C144" s="11">
        <v>-0.5</v>
      </c>
      <c r="D144" s="11">
        <v>-28.9246793148439</v>
      </c>
      <c r="E144" s="11">
        <v>-0.5</v>
      </c>
      <c r="F144" s="11">
        <v>-29.828453993615401</v>
      </c>
      <c r="G144" s="11">
        <v>-0.5</v>
      </c>
      <c r="H144" s="11">
        <v>-31.853991619131101</v>
      </c>
    </row>
    <row r="145" spans="1:8" x14ac:dyDescent="0.25">
      <c r="A145" s="11">
        <v>8</v>
      </c>
      <c r="B145" s="11">
        <v>586.48207130605203</v>
      </c>
      <c r="C145" s="11">
        <v>0</v>
      </c>
      <c r="D145" s="11">
        <v>0.55658301817831002</v>
      </c>
      <c r="E145" s="11">
        <v>0</v>
      </c>
      <c r="F145" s="11">
        <v>0.55208245638424203</v>
      </c>
      <c r="G145" s="11">
        <v>0</v>
      </c>
      <c r="H145" s="11">
        <v>0.59398789639457505</v>
      </c>
    </row>
    <row r="146" spans="1:8" x14ac:dyDescent="0.25">
      <c r="A146" s="11">
        <v>7.5</v>
      </c>
      <c r="B146" s="11">
        <v>548.07631958617696</v>
      </c>
      <c r="C146" s="11">
        <v>0.5</v>
      </c>
      <c r="D146" s="11">
        <v>30.030645576336099</v>
      </c>
      <c r="E146" s="11">
        <v>0.5</v>
      </c>
      <c r="F146" s="11">
        <v>30.9228499187384</v>
      </c>
      <c r="G146" s="11">
        <v>0.5</v>
      </c>
      <c r="H146" s="11">
        <v>33.027987294959999</v>
      </c>
    </row>
    <row r="147" spans="1:8" x14ac:dyDescent="0.25">
      <c r="A147" s="11">
        <v>7</v>
      </c>
      <c r="B147" s="11">
        <v>509.66845447664298</v>
      </c>
      <c r="C147" s="11">
        <v>1</v>
      </c>
      <c r="D147" s="11">
        <v>59.488621576216303</v>
      </c>
      <c r="E147" s="11">
        <v>1</v>
      </c>
      <c r="F147" s="11">
        <v>61.270516386865701</v>
      </c>
      <c r="G147" s="11">
        <v>1</v>
      </c>
      <c r="H147" s="11">
        <v>65.429368615477699</v>
      </c>
    </row>
    <row r="148" spans="1:8" x14ac:dyDescent="0.25">
      <c r="A148" s="11">
        <v>6.5</v>
      </c>
      <c r="B148" s="11">
        <v>471.25631233004299</v>
      </c>
      <c r="C148" s="11">
        <v>1.5</v>
      </c>
      <c r="D148" s="11">
        <v>88.925305568740598</v>
      </c>
      <c r="E148" s="11">
        <v>1.5</v>
      </c>
      <c r="F148" s="11">
        <v>91.605440341249704</v>
      </c>
      <c r="G148" s="11">
        <v>1.5</v>
      </c>
      <c r="H148" s="11">
        <v>97.825379443644906</v>
      </c>
    </row>
    <row r="149" spans="1:8" x14ac:dyDescent="0.25">
      <c r="A149" s="11">
        <v>6</v>
      </c>
      <c r="B149" s="11">
        <v>432.83835735721101</v>
      </c>
      <c r="C149" s="11">
        <v>2</v>
      </c>
      <c r="D149" s="11">
        <v>118.373026053123</v>
      </c>
      <c r="E149" s="11">
        <v>2</v>
      </c>
      <c r="F149" s="11">
        <v>121.947763672208</v>
      </c>
      <c r="G149" s="11">
        <v>2</v>
      </c>
      <c r="H149" s="11">
        <v>130.23451258952699</v>
      </c>
    </row>
    <row r="150" spans="1:8" x14ac:dyDescent="0.25">
      <c r="A150" s="11">
        <v>5.5</v>
      </c>
      <c r="B150" s="11">
        <v>394.413116610374</v>
      </c>
      <c r="C150" s="11">
        <v>2.5</v>
      </c>
      <c r="D150" s="11">
        <v>147.82103933655401</v>
      </c>
      <c r="E150" s="11">
        <v>2.5</v>
      </c>
      <c r="F150" s="11">
        <v>152.30649736033601</v>
      </c>
      <c r="G150" s="11">
        <v>2.5</v>
      </c>
      <c r="H150" s="11">
        <v>162.66116866024299</v>
      </c>
    </row>
    <row r="151" spans="1:8" x14ac:dyDescent="0.25">
      <c r="A151" s="11">
        <v>5</v>
      </c>
      <c r="B151" s="11">
        <v>355.97210780797298</v>
      </c>
      <c r="C151" s="11">
        <v>3</v>
      </c>
      <c r="D151" s="11">
        <v>177.28785296360499</v>
      </c>
      <c r="E151" s="11">
        <v>3</v>
      </c>
      <c r="F151" s="11">
        <v>182.668655360679</v>
      </c>
      <c r="G151" s="11">
        <v>3</v>
      </c>
      <c r="H151" s="11">
        <v>195.11021856222999</v>
      </c>
    </row>
    <row r="152" spans="1:8" x14ac:dyDescent="0.25">
      <c r="A152" s="11">
        <v>4.5</v>
      </c>
      <c r="B152" s="11">
        <v>317.52006586692198</v>
      </c>
      <c r="C152" s="11">
        <v>3.5</v>
      </c>
      <c r="D152" s="11">
        <v>206.75317861587999</v>
      </c>
      <c r="E152" s="11">
        <v>3.5</v>
      </c>
      <c r="F152" s="11">
        <v>213.052351676032</v>
      </c>
      <c r="G152" s="11">
        <v>3.5</v>
      </c>
      <c r="H152" s="11">
        <v>227.57038280165301</v>
      </c>
    </row>
    <row r="153" spans="1:8" x14ac:dyDescent="0.25">
      <c r="A153" s="11">
        <v>4</v>
      </c>
      <c r="B153" s="11">
        <v>279.08723184307098</v>
      </c>
      <c r="C153" s="11">
        <v>4</v>
      </c>
      <c r="D153" s="11">
        <v>236.24007416882401</v>
      </c>
      <c r="E153" s="11">
        <v>4</v>
      </c>
      <c r="F153" s="11">
        <v>243.435915922259</v>
      </c>
      <c r="G153" s="11">
        <v>4</v>
      </c>
      <c r="H153" s="11">
        <v>260.03966914700499</v>
      </c>
    </row>
    <row r="154" spans="1:8" x14ac:dyDescent="0.25">
      <c r="A154" s="11">
        <v>3.5</v>
      </c>
      <c r="B154" s="11">
        <v>240.71748230197699</v>
      </c>
      <c r="C154" s="11">
        <v>4.5</v>
      </c>
      <c r="D154" s="11">
        <v>265.72050673821002</v>
      </c>
      <c r="E154" s="11">
        <v>4.5</v>
      </c>
      <c r="F154" s="11">
        <v>273.82649227639098</v>
      </c>
      <c r="G154" s="11">
        <v>4.5</v>
      </c>
      <c r="H154" s="11">
        <v>292.51099973719101</v>
      </c>
    </row>
    <row r="155" spans="1:8" x14ac:dyDescent="0.25">
      <c r="A155" s="11">
        <v>3</v>
      </c>
      <c r="B155" s="11">
        <v>202.44627415934701</v>
      </c>
      <c r="C155" s="11">
        <v>5</v>
      </c>
      <c r="D155" s="11">
        <v>295.20474041182803</v>
      </c>
      <c r="E155" s="11">
        <v>5</v>
      </c>
      <c r="F155" s="11">
        <v>304.22287965953097</v>
      </c>
      <c r="G155" s="11">
        <v>5</v>
      </c>
      <c r="H155" s="11">
        <v>324.97916908939698</v>
      </c>
    </row>
    <row r="156" spans="1:8" x14ac:dyDescent="0.25">
      <c r="A156" s="11">
        <v>2.5</v>
      </c>
      <c r="B156" s="11">
        <v>164.22254692604599</v>
      </c>
      <c r="C156" s="11">
        <v>5.5</v>
      </c>
      <c r="D156" s="11">
        <v>324.691316237178</v>
      </c>
      <c r="E156" s="11">
        <v>5.5</v>
      </c>
      <c r="F156" s="11">
        <v>334.61377116191602</v>
      </c>
      <c r="G156" s="11">
        <v>5.5</v>
      </c>
      <c r="H156" s="11">
        <v>357.44274490752798</v>
      </c>
    </row>
    <row r="157" spans="1:8" x14ac:dyDescent="0.25">
      <c r="A157" s="11">
        <v>2</v>
      </c>
      <c r="B157" s="11">
        <v>126.100020627831</v>
      </c>
      <c r="C157" s="11">
        <v>6</v>
      </c>
      <c r="D157" s="11">
        <v>354.17277627988602</v>
      </c>
      <c r="E157" s="11">
        <v>6</v>
      </c>
      <c r="F157" s="11">
        <v>365.00163135298902</v>
      </c>
      <c r="G157" s="11">
        <v>6</v>
      </c>
      <c r="H157" s="11">
        <v>389.910971725872</v>
      </c>
    </row>
    <row r="158" spans="1:8" x14ac:dyDescent="0.25">
      <c r="A158" s="11">
        <v>1.5</v>
      </c>
      <c r="B158" s="11">
        <v>87.886138448767497</v>
      </c>
      <c r="C158" s="11">
        <v>6.5</v>
      </c>
      <c r="D158" s="11">
        <v>383.65079884867498</v>
      </c>
      <c r="E158" s="11">
        <v>6.5</v>
      </c>
      <c r="F158" s="11">
        <v>395.38570606052099</v>
      </c>
      <c r="G158" s="11">
        <v>6.5</v>
      </c>
      <c r="H158" s="11">
        <v>422.38440795551202</v>
      </c>
    </row>
    <row r="159" spans="1:8" x14ac:dyDescent="0.25">
      <c r="A159" s="11">
        <v>1</v>
      </c>
      <c r="B159" s="11">
        <v>49.344220333784499</v>
      </c>
      <c r="C159" s="11">
        <v>7</v>
      </c>
      <c r="D159" s="11">
        <v>413.12639559396001</v>
      </c>
      <c r="E159" s="11">
        <v>7</v>
      </c>
      <c r="F159" s="11">
        <v>425.77456434284198</v>
      </c>
      <c r="G159" s="11">
        <v>7</v>
      </c>
      <c r="H159" s="11">
        <v>454.85923520733797</v>
      </c>
    </row>
    <row r="160" spans="1:8" x14ac:dyDescent="0.25">
      <c r="A160" s="11">
        <v>0.5</v>
      </c>
      <c r="B160" s="11">
        <v>10.469085729310899</v>
      </c>
      <c r="C160" s="11">
        <v>7.5</v>
      </c>
      <c r="D160" s="11">
        <v>442.60125686823397</v>
      </c>
      <c r="E160" s="11">
        <v>7.5</v>
      </c>
      <c r="F160" s="11">
        <v>456.16463935344899</v>
      </c>
      <c r="G160" s="11">
        <v>7.5</v>
      </c>
      <c r="H160" s="11">
        <v>487.32985929787901</v>
      </c>
    </row>
    <row r="161" spans="1:8" x14ac:dyDescent="0.25">
      <c r="A161" s="11">
        <v>0</v>
      </c>
      <c r="B161" s="11">
        <v>-28.437358489602701</v>
      </c>
      <c r="C161" s="11">
        <v>8</v>
      </c>
      <c r="D161" s="11">
        <v>471.95170011188901</v>
      </c>
      <c r="E161" s="11">
        <v>8</v>
      </c>
      <c r="F161" s="11">
        <v>486.43234298050902</v>
      </c>
      <c r="G161" s="11">
        <v>8</v>
      </c>
      <c r="H161" s="11">
        <v>519.66056288992502</v>
      </c>
    </row>
    <row r="162" spans="1:8" x14ac:dyDescent="0.25">
      <c r="A162" s="11">
        <v>-0.5</v>
      </c>
      <c r="B162" s="11">
        <v>-67.5968188552512</v>
      </c>
      <c r="C162" s="11">
        <v>8.5</v>
      </c>
      <c r="D162" s="11">
        <v>500.52925915119698</v>
      </c>
      <c r="E162" s="11">
        <v>8.5</v>
      </c>
      <c r="F162" s="11">
        <v>515.90083712963599</v>
      </c>
      <c r="G162" s="11">
        <v>8.5</v>
      </c>
      <c r="H162" s="11">
        <v>551.14799883686396</v>
      </c>
    </row>
    <row r="163" spans="1:8" x14ac:dyDescent="0.25">
      <c r="A163" s="11">
        <v>-1</v>
      </c>
      <c r="B163" s="11">
        <v>-107.38554193685199</v>
      </c>
      <c r="C163" s="11">
        <v>9</v>
      </c>
      <c r="D163" s="11">
        <v>528.98560518463603</v>
      </c>
      <c r="E163" s="11">
        <v>9</v>
      </c>
      <c r="F163" s="11">
        <v>545.24387926714303</v>
      </c>
      <c r="G163" s="11">
        <v>9</v>
      </c>
      <c r="H163" s="11">
        <v>582.47265409037698</v>
      </c>
    </row>
    <row r="164" spans="1:8" x14ac:dyDescent="0.25">
      <c r="A164" s="11">
        <v>-1.5</v>
      </c>
      <c r="B164" s="11">
        <v>-147.96295568249201</v>
      </c>
      <c r="C164" s="11">
        <v>9.5</v>
      </c>
      <c r="D164" s="11">
        <v>557.28266375532701</v>
      </c>
      <c r="E164" s="11">
        <v>9.5</v>
      </c>
      <c r="F164" s="11">
        <v>574.41702608894195</v>
      </c>
      <c r="G164" s="11">
        <v>9.5</v>
      </c>
      <c r="H164" s="11">
        <v>613.60613673742898</v>
      </c>
    </row>
    <row r="165" spans="1:8" x14ac:dyDescent="0.25">
      <c r="A165" s="11">
        <v>-2</v>
      </c>
      <c r="B165" s="11">
        <v>-189.05775640033701</v>
      </c>
      <c r="C165" s="11">
        <v>10</v>
      </c>
      <c r="D165" s="11">
        <v>585.44468094717604</v>
      </c>
      <c r="E165" s="11">
        <v>10</v>
      </c>
      <c r="F165" s="11">
        <v>603.42805075095202</v>
      </c>
      <c r="G165" s="11">
        <v>10</v>
      </c>
      <c r="H165" s="11">
        <v>644.52635804652903</v>
      </c>
    </row>
    <row r="166" spans="1:8" x14ac:dyDescent="0.25">
      <c r="A166" s="11">
        <v>-2.5</v>
      </c>
      <c r="B166" s="11">
        <v>-230.487279791096</v>
      </c>
      <c r="C166" s="11">
        <v>10.5</v>
      </c>
      <c r="D166" s="11">
        <v>613.42281504730704</v>
      </c>
      <c r="E166" s="11">
        <v>10.5</v>
      </c>
      <c r="F166" s="11">
        <v>632.23086783620704</v>
      </c>
      <c r="G166" s="11">
        <v>10.5</v>
      </c>
      <c r="H166" s="11">
        <v>675.21022140567402</v>
      </c>
    </row>
    <row r="167" spans="1:8" x14ac:dyDescent="0.25">
      <c r="A167" s="11">
        <v>-3</v>
      </c>
      <c r="B167" s="11">
        <v>-272.12397474240998</v>
      </c>
      <c r="C167" s="11">
        <v>11</v>
      </c>
      <c r="D167" s="11">
        <v>641.19249363742301</v>
      </c>
      <c r="E167" s="11">
        <v>11</v>
      </c>
      <c r="F167" s="11">
        <v>660.81380796996496</v>
      </c>
      <c r="G167" s="11">
        <v>11</v>
      </c>
      <c r="H167" s="11">
        <v>705.64874438418701</v>
      </c>
    </row>
    <row r="168" spans="1:8" x14ac:dyDescent="0.25">
      <c r="A168" s="11">
        <v>-3.5</v>
      </c>
      <c r="B168" s="11">
        <v>-313.82295527853898</v>
      </c>
      <c r="C168" s="11">
        <v>11.5</v>
      </c>
      <c r="D168" s="11">
        <v>668.77394629247999</v>
      </c>
      <c r="E168" s="11">
        <v>11.5</v>
      </c>
      <c r="F168" s="11">
        <v>689.17737157686895</v>
      </c>
      <c r="G168" s="11">
        <v>11.5</v>
      </c>
      <c r="H168" s="11">
        <v>735.82259659294004</v>
      </c>
    </row>
    <row r="169" spans="1:8" x14ac:dyDescent="0.25">
      <c r="A169" s="11">
        <v>-4</v>
      </c>
      <c r="B169" s="11">
        <v>-355.57761094402798</v>
      </c>
      <c r="C169" s="11">
        <v>12</v>
      </c>
      <c r="D169" s="11">
        <v>696.09666223595605</v>
      </c>
      <c r="E169" s="11">
        <v>12</v>
      </c>
      <c r="F169" s="11">
        <v>717.27806745196494</v>
      </c>
      <c r="G169" s="11">
        <v>12</v>
      </c>
      <c r="H169" s="11">
        <v>765.72827596467096</v>
      </c>
    </row>
    <row r="170" spans="1:8" x14ac:dyDescent="0.25">
      <c r="A170" s="11">
        <v>-4.5</v>
      </c>
      <c r="B170" s="11">
        <v>-397.356374658633</v>
      </c>
      <c r="C170" s="11">
        <v>12.5</v>
      </c>
      <c r="D170" s="11">
        <v>723.15838885093103</v>
      </c>
      <c r="E170" s="11">
        <v>12.5</v>
      </c>
      <c r="F170" s="11">
        <v>745.11494113260801</v>
      </c>
      <c r="G170" s="11">
        <v>12.5</v>
      </c>
      <c r="H170" s="11">
        <v>795.30437574727102</v>
      </c>
    </row>
    <row r="171" spans="1:8" x14ac:dyDescent="0.25">
      <c r="A171" s="11">
        <v>-5</v>
      </c>
      <c r="B171" s="11">
        <v>-439.18091831377501</v>
      </c>
      <c r="C171" s="11">
        <v>13</v>
      </c>
      <c r="D171" s="11">
        <v>749.99840426498497</v>
      </c>
      <c r="E171" s="11">
        <v>13</v>
      </c>
      <c r="F171" s="11">
        <v>772.694289034549</v>
      </c>
      <c r="G171" s="11">
        <v>13</v>
      </c>
      <c r="H171" s="11">
        <v>824.58083740422296</v>
      </c>
    </row>
    <row r="172" spans="1:8" x14ac:dyDescent="0.25">
      <c r="A172" s="11">
        <v>-5.5</v>
      </c>
      <c r="B172" s="11">
        <v>-481.04623486923703</v>
      </c>
      <c r="C172" s="11">
        <v>13.5</v>
      </c>
      <c r="D172" s="11">
        <v>776.576434313052</v>
      </c>
      <c r="E172" s="11">
        <v>13.5</v>
      </c>
      <c r="F172" s="11">
        <v>800.00144211814097</v>
      </c>
      <c r="G172" s="11">
        <v>13.5</v>
      </c>
      <c r="H172" s="11">
        <v>853.54993238235397</v>
      </c>
    </row>
    <row r="173" spans="1:8" x14ac:dyDescent="0.25">
      <c r="A173" s="11">
        <v>-6</v>
      </c>
      <c r="B173" s="11">
        <v>-522.92362814875901</v>
      </c>
      <c r="C173" s="11">
        <v>14</v>
      </c>
      <c r="D173" s="11">
        <v>802.87944224073101</v>
      </c>
      <c r="E173" s="11">
        <v>14</v>
      </c>
      <c r="F173" s="11">
        <v>827.00476757035199</v>
      </c>
      <c r="G173" s="11">
        <v>14</v>
      </c>
      <c r="H173" s="11">
        <v>882.24535882349198</v>
      </c>
    </row>
    <row r="174" spans="1:8" x14ac:dyDescent="0.25">
      <c r="A174" s="11">
        <v>-6.5</v>
      </c>
      <c r="B174" s="11">
        <v>-564.80869640113201</v>
      </c>
      <c r="C174" s="11">
        <v>14.5</v>
      </c>
      <c r="D174" s="11">
        <v>828.89487734100396</v>
      </c>
      <c r="E174" s="11">
        <v>14.5</v>
      </c>
      <c r="F174" s="11">
        <v>853.70991430668096</v>
      </c>
      <c r="G174" s="11">
        <v>14.5</v>
      </c>
      <c r="H174" s="11">
        <v>910.617916662933</v>
      </c>
    </row>
    <row r="175" spans="1:8" x14ac:dyDescent="0.25">
      <c r="A175" s="11">
        <v>-7</v>
      </c>
      <c r="B175" s="11">
        <v>-606.70137702694797</v>
      </c>
      <c r="C175" s="11">
        <v>15</v>
      </c>
      <c r="D175" s="11">
        <v>854.649706535326</v>
      </c>
      <c r="E175" s="11">
        <v>15</v>
      </c>
      <c r="F175" s="11">
        <v>880.14741468471505</v>
      </c>
      <c r="G175" s="11">
        <v>15</v>
      </c>
      <c r="H175" s="11">
        <v>938.67071928576297</v>
      </c>
    </row>
    <row r="176" spans="1:8" x14ac:dyDescent="0.25">
      <c r="A176" s="11">
        <v>-7.5</v>
      </c>
      <c r="B176" s="11">
        <v>-648.34583993882404</v>
      </c>
      <c r="C176" s="11">
        <v>15.5</v>
      </c>
      <c r="D176" s="11">
        <v>880.11337166749604</v>
      </c>
      <c r="E176" s="11">
        <v>15.5</v>
      </c>
      <c r="F176" s="11">
        <v>906.29743966469096</v>
      </c>
      <c r="G176" s="11">
        <v>15.5</v>
      </c>
      <c r="H176" s="11">
        <v>966.40391356887403</v>
      </c>
    </row>
    <row r="177" spans="1:8" x14ac:dyDescent="0.25">
      <c r="A177" s="11">
        <v>-8</v>
      </c>
      <c r="B177" s="11">
        <v>-689.02110051855504</v>
      </c>
      <c r="C177" s="11">
        <v>16</v>
      </c>
      <c r="D177" s="11">
        <v>905.28501691594397</v>
      </c>
      <c r="E177" s="11">
        <v>16</v>
      </c>
      <c r="F177" s="11">
        <v>932.12476715179105</v>
      </c>
      <c r="G177" s="11">
        <v>16</v>
      </c>
      <c r="H177" s="11">
        <v>993.80412667369603</v>
      </c>
    </row>
    <row r="178" spans="1:8" x14ac:dyDescent="0.25">
      <c r="A178" s="11">
        <v>-8.5</v>
      </c>
      <c r="B178" s="11">
        <v>-728.86700555056905</v>
      </c>
      <c r="C178" s="11">
        <v>16.5</v>
      </c>
      <c r="D178" s="11">
        <v>930.11007994383795</v>
      </c>
      <c r="E178" s="11">
        <v>16.5</v>
      </c>
      <c r="F178" s="11">
        <v>957.60153236611097</v>
      </c>
      <c r="G178" s="11">
        <v>16.5</v>
      </c>
      <c r="H178" s="11">
        <v>1020.8384317031999</v>
      </c>
    </row>
    <row r="179" spans="1:8" x14ac:dyDescent="0.25">
      <c r="A179" s="11">
        <v>-9</v>
      </c>
      <c r="B179" s="11">
        <v>-768.33277756939901</v>
      </c>
      <c r="C179" s="11">
        <v>17</v>
      </c>
      <c r="D179" s="11">
        <v>954.57687344860403</v>
      </c>
      <c r="E179" s="11">
        <v>17</v>
      </c>
      <c r="F179" s="11">
        <v>982.71946885254295</v>
      </c>
      <c r="G179" s="11">
        <v>17</v>
      </c>
      <c r="H179" s="11">
        <v>1047.5121317575999</v>
      </c>
    </row>
    <row r="180" spans="1:8" x14ac:dyDescent="0.25">
      <c r="A180" s="11">
        <v>-9.5</v>
      </c>
      <c r="B180" s="11">
        <v>-807.39315289987906</v>
      </c>
      <c r="C180" s="11">
        <v>17.5</v>
      </c>
      <c r="D180" s="11">
        <v>978.72452924989705</v>
      </c>
      <c r="E180" s="11">
        <v>17.5</v>
      </c>
      <c r="F180" s="11">
        <v>1007.47814843845</v>
      </c>
      <c r="G180" s="11">
        <v>17.5</v>
      </c>
      <c r="H180" s="11">
        <v>1073.84451676343</v>
      </c>
    </row>
    <row r="181" spans="1:8" x14ac:dyDescent="0.25">
      <c r="A181" s="11">
        <v>-10</v>
      </c>
      <c r="B181" s="11">
        <v>-846.03328341363397</v>
      </c>
      <c r="C181" s="11">
        <v>18</v>
      </c>
      <c r="D181" s="11">
        <v>1002.51735407717</v>
      </c>
      <c r="E181" s="11">
        <v>18</v>
      </c>
      <c r="F181" s="11">
        <v>1031.8959101098999</v>
      </c>
      <c r="G181" s="11">
        <v>18</v>
      </c>
      <c r="H181" s="11">
        <v>1099.80397663443</v>
      </c>
    </row>
    <row r="182" spans="1:8" x14ac:dyDescent="0.25">
      <c r="A182" s="11">
        <v>-10.5</v>
      </c>
      <c r="B182" s="11">
        <v>-884.26921557796504</v>
      </c>
      <c r="C182" s="11">
        <v>18.5</v>
      </c>
      <c r="D182" s="11">
        <v>1025.95445431743</v>
      </c>
      <c r="E182" s="11">
        <v>18.5</v>
      </c>
      <c r="F182" s="11">
        <v>1055.92055021274</v>
      </c>
      <c r="G182" s="11">
        <v>18.5</v>
      </c>
      <c r="H182" s="11">
        <v>1125.4236383105399</v>
      </c>
    </row>
    <row r="183" spans="1:8" x14ac:dyDescent="0.25">
      <c r="A183" s="11">
        <v>-11</v>
      </c>
      <c r="B183" s="11">
        <v>-922.10583933848795</v>
      </c>
      <c r="C183" s="11">
        <v>19</v>
      </c>
      <c r="D183" s="11">
        <v>1049.00126164008</v>
      </c>
      <c r="E183" s="11">
        <v>19</v>
      </c>
      <c r="F183" s="11">
        <v>1079.56026415161</v>
      </c>
      <c r="G183" s="11">
        <v>19</v>
      </c>
      <c r="H183" s="11">
        <v>1150.7302207042801</v>
      </c>
    </row>
    <row r="184" spans="1:8" x14ac:dyDescent="0.25">
      <c r="A184" s="11">
        <v>-11.5</v>
      </c>
      <c r="B184" s="11">
        <v>-959.52758306544695</v>
      </c>
      <c r="C184" s="11">
        <v>19.5</v>
      </c>
      <c r="D184" s="11">
        <v>1071.6653000824899</v>
      </c>
      <c r="E184" s="11">
        <v>19.5</v>
      </c>
      <c r="F184" s="11">
        <v>1102.7950157616399</v>
      </c>
      <c r="G184" s="11">
        <v>19.5</v>
      </c>
      <c r="H184" s="11">
        <v>1175.6804263819499</v>
      </c>
    </row>
    <row r="185" spans="1:8" x14ac:dyDescent="0.25">
      <c r="A185" s="11">
        <v>-12</v>
      </c>
      <c r="B185" s="11">
        <v>-996.49130417217305</v>
      </c>
      <c r="C185" s="11">
        <v>20</v>
      </c>
      <c r="D185" s="11">
        <v>1093.93229669568</v>
      </c>
      <c r="E185" s="11">
        <v>20</v>
      </c>
      <c r="F185" s="11">
        <v>1125.74402524059</v>
      </c>
      <c r="G185" s="11">
        <v>20</v>
      </c>
      <c r="H185" s="11">
        <v>1200.29940937627</v>
      </c>
    </row>
    <row r="186" spans="1:8" x14ac:dyDescent="0.25">
      <c r="A186" s="11">
        <v>-12.5</v>
      </c>
      <c r="B186" s="11">
        <v>-1032.95073493678</v>
      </c>
      <c r="C186" s="11">
        <v>19.5</v>
      </c>
      <c r="D186" s="11">
        <v>1066.0048930959499</v>
      </c>
      <c r="E186" s="11">
        <v>19.5</v>
      </c>
      <c r="F186" s="11">
        <v>1097.02501205627</v>
      </c>
      <c r="G186" s="11">
        <v>19.5</v>
      </c>
      <c r="H186" s="11">
        <v>1169.7143929767401</v>
      </c>
    </row>
    <row r="187" spans="1:8" x14ac:dyDescent="0.25">
      <c r="A187" s="11">
        <v>-13</v>
      </c>
      <c r="B187" s="11">
        <v>-1068.82602758961</v>
      </c>
      <c r="C187" s="11">
        <v>19</v>
      </c>
      <c r="D187" s="11">
        <v>1038.0779425696201</v>
      </c>
      <c r="E187" s="11">
        <v>19</v>
      </c>
      <c r="F187" s="11">
        <v>1068.30627408497</v>
      </c>
      <c r="G187" s="11">
        <v>19</v>
      </c>
      <c r="H187" s="11">
        <v>1139.12956899453</v>
      </c>
    </row>
    <row r="188" spans="1:8" x14ac:dyDescent="0.25">
      <c r="A188" s="11">
        <v>-13.5</v>
      </c>
      <c r="B188" s="11">
        <v>-1104.18302327892</v>
      </c>
      <c r="C188" s="11">
        <v>18.5</v>
      </c>
      <c r="D188" s="11">
        <v>1010.15144431867</v>
      </c>
      <c r="E188" s="11">
        <v>18.5</v>
      </c>
      <c r="F188" s="11">
        <v>1039.58788392976</v>
      </c>
      <c r="G188" s="11">
        <v>18.5</v>
      </c>
      <c r="H188" s="11">
        <v>1108.5449177729799</v>
      </c>
    </row>
    <row r="189" spans="1:8" x14ac:dyDescent="0.25">
      <c r="A189" s="11">
        <v>-14</v>
      </c>
      <c r="B189" s="11">
        <v>-1138.9952808225901</v>
      </c>
      <c r="C189" s="11">
        <v>18</v>
      </c>
      <c r="D189" s="11">
        <v>982.22539056659195</v>
      </c>
      <c r="E189" s="11">
        <v>18</v>
      </c>
      <c r="F189" s="11">
        <v>1010.86983474406</v>
      </c>
      <c r="G189" s="11">
        <v>18</v>
      </c>
      <c r="H189" s="11">
        <v>1077.96051452557</v>
      </c>
    </row>
    <row r="190" spans="1:8" x14ac:dyDescent="0.25">
      <c r="A190" s="11">
        <v>-14.5</v>
      </c>
      <c r="B190" s="11">
        <v>-1173.24110380148</v>
      </c>
      <c r="C190" s="11">
        <v>17.5</v>
      </c>
      <c r="D190" s="11">
        <v>954.29977591114198</v>
      </c>
      <c r="E190" s="11">
        <v>17.5</v>
      </c>
      <c r="F190" s="11">
        <v>982.15215786984004</v>
      </c>
      <c r="G190" s="11">
        <v>17.5</v>
      </c>
      <c r="H190" s="11">
        <v>1047.3762972899401</v>
      </c>
    </row>
    <row r="191" spans="1:8" x14ac:dyDescent="0.25">
      <c r="A191" s="11">
        <v>-15</v>
      </c>
      <c r="B191" s="11">
        <v>-1206.88820829304</v>
      </c>
      <c r="C191" s="11">
        <v>17</v>
      </c>
      <c r="D191" s="11">
        <v>926.37466778341695</v>
      </c>
      <c r="E191" s="11">
        <v>17</v>
      </c>
      <c r="F191" s="11">
        <v>953.43479722270001</v>
      </c>
      <c r="G191" s="11">
        <v>17</v>
      </c>
      <c r="H191" s="11">
        <v>1016.79236395315</v>
      </c>
    </row>
    <row r="192" spans="1:8" x14ac:dyDescent="0.25">
      <c r="A192" s="11">
        <v>-15.5</v>
      </c>
      <c r="B192" s="11">
        <v>-1239.98522579424</v>
      </c>
      <c r="C192" s="11">
        <v>16.5</v>
      </c>
      <c r="D192" s="11">
        <v>898.450100571402</v>
      </c>
      <c r="E192" s="11">
        <v>16.5</v>
      </c>
      <c r="F192" s="11">
        <v>924.71784976521496</v>
      </c>
      <c r="G192" s="11">
        <v>16.5</v>
      </c>
      <c r="H192" s="11">
        <v>986.20870535281904</v>
      </c>
    </row>
    <row r="193" spans="1:8" x14ac:dyDescent="0.25">
      <c r="A193" s="11">
        <v>-16</v>
      </c>
      <c r="B193" s="11">
        <v>-1272.52325670083</v>
      </c>
      <c r="C193" s="11">
        <v>16</v>
      </c>
      <c r="D193" s="11">
        <v>870.5261855361</v>
      </c>
      <c r="E193" s="11">
        <v>16</v>
      </c>
      <c r="F193" s="11">
        <v>896.001358024914</v>
      </c>
      <c r="G193" s="11">
        <v>16</v>
      </c>
      <c r="H193" s="11">
        <v>955.62539160723497</v>
      </c>
    </row>
    <row r="194" spans="1:8" x14ac:dyDescent="0.25">
      <c r="A194" s="11">
        <v>-16.5</v>
      </c>
      <c r="B194" s="11">
        <v>-1304.4554450522601</v>
      </c>
      <c r="C194" s="11">
        <v>15.5</v>
      </c>
      <c r="D194" s="11">
        <v>842.60287253852596</v>
      </c>
      <c r="E194" s="11">
        <v>15.5</v>
      </c>
      <c r="F194" s="11">
        <v>867.28533266133195</v>
      </c>
      <c r="G194" s="11">
        <v>15.5</v>
      </c>
      <c r="H194" s="11">
        <v>925.04240262985797</v>
      </c>
    </row>
    <row r="195" spans="1:8" x14ac:dyDescent="0.25">
      <c r="A195" s="11">
        <v>-17</v>
      </c>
      <c r="B195" s="11">
        <v>-1335.8569258403199</v>
      </c>
      <c r="C195" s="11">
        <v>15</v>
      </c>
      <c r="D195" s="11">
        <v>814.68018916050301</v>
      </c>
      <c r="E195" s="11">
        <v>15</v>
      </c>
      <c r="F195" s="11">
        <v>838.56973194782097</v>
      </c>
      <c r="G195" s="11">
        <v>15</v>
      </c>
      <c r="H195" s="11">
        <v>894.45976170396102</v>
      </c>
    </row>
    <row r="196" spans="1:8" x14ac:dyDescent="0.25">
      <c r="A196" s="11">
        <v>-17.5</v>
      </c>
      <c r="B196" s="11">
        <v>-1366.7846394736</v>
      </c>
      <c r="C196" s="11">
        <v>14.5</v>
      </c>
      <c r="D196" s="11">
        <v>786.75825779196396</v>
      </c>
      <c r="E196" s="11">
        <v>14.5</v>
      </c>
      <c r="F196" s="11">
        <v>809.85470401193197</v>
      </c>
      <c r="G196" s="11">
        <v>14.5</v>
      </c>
      <c r="H196" s="11">
        <v>863.87752250148799</v>
      </c>
    </row>
    <row r="197" spans="1:8" x14ac:dyDescent="0.25">
      <c r="A197" s="11">
        <v>-18</v>
      </c>
      <c r="B197" s="11">
        <v>-1397.0684057204301</v>
      </c>
      <c r="C197" s="11">
        <v>14</v>
      </c>
      <c r="D197" s="11">
        <v>758.83724814642596</v>
      </c>
      <c r="E197" s="11">
        <v>14</v>
      </c>
      <c r="F197" s="11">
        <v>781.14027056345606</v>
      </c>
      <c r="G197" s="11">
        <v>14</v>
      </c>
      <c r="H197" s="11">
        <v>833.29571709799495</v>
      </c>
    </row>
    <row r="198" spans="1:8" x14ac:dyDescent="0.25">
      <c r="A198" s="11">
        <v>-18.5</v>
      </c>
      <c r="B198" s="11">
        <v>-1426.8106955169401</v>
      </c>
      <c r="C198" s="11">
        <v>13.5</v>
      </c>
      <c r="D198" s="11">
        <v>730.91714832861896</v>
      </c>
      <c r="E198" s="11">
        <v>13.5</v>
      </c>
      <c r="F198" s="11">
        <v>752.42647691114701</v>
      </c>
      <c r="G198" s="11">
        <v>13.5</v>
      </c>
      <c r="H198" s="11">
        <v>802.71436834419796</v>
      </c>
    </row>
    <row r="199" spans="1:8" x14ac:dyDescent="0.25">
      <c r="A199" s="11">
        <v>-19</v>
      </c>
      <c r="B199" s="11">
        <v>-1456.1191107827301</v>
      </c>
      <c r="C199" s="11">
        <v>13</v>
      </c>
      <c r="D199" s="11">
        <v>702.99808163745104</v>
      </c>
      <c r="E199" s="11">
        <v>13</v>
      </c>
      <c r="F199" s="11">
        <v>723.71346840841704</v>
      </c>
      <c r="G199" s="11">
        <v>13</v>
      </c>
      <c r="H199" s="11">
        <v>772.13352651843695</v>
      </c>
    </row>
    <row r="200" spans="1:8" x14ac:dyDescent="0.25">
      <c r="A200" s="11">
        <v>-19.5</v>
      </c>
      <c r="B200" s="11">
        <v>-1484.89809583792</v>
      </c>
      <c r="C200" s="11">
        <v>12.5</v>
      </c>
      <c r="D200" s="11">
        <v>675.08007614701296</v>
      </c>
      <c r="E200" s="11">
        <v>12.5</v>
      </c>
      <c r="F200" s="11">
        <v>695.00130434254902</v>
      </c>
      <c r="G200" s="11">
        <v>12.5</v>
      </c>
      <c r="H200" s="11">
        <v>741.55325719624796</v>
      </c>
    </row>
    <row r="201" spans="1:8" x14ac:dyDescent="0.25">
      <c r="A201" s="11">
        <v>-20</v>
      </c>
      <c r="B201" s="11">
        <v>-1513.1832030242299</v>
      </c>
      <c r="C201" s="11">
        <v>12</v>
      </c>
      <c r="D201" s="11">
        <v>647.163251907931</v>
      </c>
      <c r="E201" s="11">
        <v>12</v>
      </c>
      <c r="F201" s="11">
        <v>666.29000355795995</v>
      </c>
      <c r="G201" s="11">
        <v>12</v>
      </c>
      <c r="H201" s="11">
        <v>710.97354746206497</v>
      </c>
    </row>
    <row r="202" spans="1:8" x14ac:dyDescent="0.25">
      <c r="C202" s="11">
        <v>11.5</v>
      </c>
      <c r="D202" s="11">
        <v>619.24764642648699</v>
      </c>
      <c r="E202" s="11">
        <v>11.5</v>
      </c>
      <c r="F202" s="11">
        <v>637.57968708855003</v>
      </c>
      <c r="G202" s="11">
        <v>11.5</v>
      </c>
      <c r="H202" s="11">
        <v>680.39452144320001</v>
      </c>
    </row>
    <row r="203" spans="1:8" x14ac:dyDescent="0.25">
      <c r="C203" s="11">
        <v>11</v>
      </c>
      <c r="D203" s="11">
        <v>591.33342486983395</v>
      </c>
      <c r="E203" s="11">
        <v>11</v>
      </c>
      <c r="F203" s="11">
        <v>608.87043794780504</v>
      </c>
      <c r="G203" s="11">
        <v>11</v>
      </c>
      <c r="H203" s="11">
        <v>649.81637028905504</v>
      </c>
    </row>
    <row r="204" spans="1:8" x14ac:dyDescent="0.25">
      <c r="C204" s="11">
        <v>10.5</v>
      </c>
      <c r="D204" s="11">
        <v>563.42040455951098</v>
      </c>
      <c r="E204" s="11">
        <v>10.5</v>
      </c>
      <c r="F204" s="11">
        <v>580.16222308784097</v>
      </c>
      <c r="G204" s="11">
        <v>10.5</v>
      </c>
      <c r="H204" s="11">
        <v>619.23897870567396</v>
      </c>
    </row>
    <row r="205" spans="1:8" x14ac:dyDescent="0.25">
      <c r="C205" s="11">
        <v>10</v>
      </c>
      <c r="D205" s="11">
        <v>535.508825961924</v>
      </c>
      <c r="E205" s="11">
        <v>10</v>
      </c>
      <c r="F205" s="11">
        <v>551.45516826309995</v>
      </c>
      <c r="G205" s="11">
        <v>10</v>
      </c>
      <c r="H205" s="11">
        <v>588.66274876081195</v>
      </c>
    </row>
    <row r="206" spans="1:8" x14ac:dyDescent="0.25">
      <c r="C206" s="11">
        <v>9.5</v>
      </c>
      <c r="D206" s="11">
        <v>507.59863659177199</v>
      </c>
      <c r="E206" s="11">
        <v>9.5</v>
      </c>
      <c r="F206" s="11">
        <v>522.74916276619797</v>
      </c>
      <c r="G206" s="11">
        <v>9.5</v>
      </c>
      <c r="H206" s="11">
        <v>558.08731072077705</v>
      </c>
    </row>
    <row r="207" spans="1:8" x14ac:dyDescent="0.25">
      <c r="C207" s="11">
        <v>9</v>
      </c>
      <c r="D207" s="11">
        <v>479.68978561017099</v>
      </c>
      <c r="E207" s="11">
        <v>9</v>
      </c>
      <c r="F207" s="11">
        <v>494.04426422914599</v>
      </c>
      <c r="G207" s="11">
        <v>9</v>
      </c>
      <c r="H207" s="11">
        <v>527.51306578116703</v>
      </c>
    </row>
    <row r="208" spans="1:8" x14ac:dyDescent="0.25">
      <c r="C208" s="11">
        <v>8.5</v>
      </c>
      <c r="D208" s="11">
        <v>451.78387851416102</v>
      </c>
      <c r="E208" s="11">
        <v>8.5</v>
      </c>
      <c r="F208" s="11">
        <v>465.34066668703099</v>
      </c>
      <c r="G208" s="11">
        <v>8.5</v>
      </c>
      <c r="H208" s="11">
        <v>496.939875171746</v>
      </c>
    </row>
    <row r="209" spans="3:8" x14ac:dyDescent="0.25">
      <c r="C209" s="11">
        <v>8</v>
      </c>
      <c r="D209" s="11">
        <v>423.878878498642</v>
      </c>
      <c r="E209" s="11">
        <v>8</v>
      </c>
      <c r="F209" s="11">
        <v>436.63930347105799</v>
      </c>
      <c r="G209" s="11">
        <v>8</v>
      </c>
      <c r="H209" s="11">
        <v>466.36783600722202</v>
      </c>
    </row>
    <row r="210" spans="3:8" x14ac:dyDescent="0.25">
      <c r="C210" s="11">
        <v>7.5</v>
      </c>
      <c r="D210" s="11">
        <v>395.97613637213999</v>
      </c>
      <c r="E210" s="11">
        <v>7.5</v>
      </c>
      <c r="F210" s="11">
        <v>407.93949436417302</v>
      </c>
      <c r="G210" s="11">
        <v>7.5</v>
      </c>
      <c r="H210" s="11">
        <v>435.79696048822802</v>
      </c>
    </row>
    <row r="211" spans="3:8" x14ac:dyDescent="0.25">
      <c r="C211" s="11">
        <v>7</v>
      </c>
      <c r="D211" s="11">
        <v>368.07611673680998</v>
      </c>
      <c r="E211" s="11">
        <v>7</v>
      </c>
      <c r="F211" s="11">
        <v>379.245058962408</v>
      </c>
      <c r="G211" s="11">
        <v>7</v>
      </c>
      <c r="H211" s="11">
        <v>405.22740872905501</v>
      </c>
    </row>
    <row r="212" spans="3:8" x14ac:dyDescent="0.25">
      <c r="C212" s="11">
        <v>6.5</v>
      </c>
      <c r="D212" s="11">
        <v>340.17866322741202</v>
      </c>
      <c r="E212" s="11">
        <v>6.5</v>
      </c>
      <c r="F212" s="11">
        <v>350.55564986436502</v>
      </c>
      <c r="G212" s="11">
        <v>6.5</v>
      </c>
      <c r="H212" s="11">
        <v>374.66184250037799</v>
      </c>
    </row>
    <row r="213" spans="3:8" x14ac:dyDescent="0.25">
      <c r="C213" s="11">
        <v>6</v>
      </c>
      <c r="D213" s="11">
        <v>312.27887258389501</v>
      </c>
      <c r="E213" s="11">
        <v>6</v>
      </c>
      <c r="F213" s="11">
        <v>321.86747675177401</v>
      </c>
      <c r="G213" s="11">
        <v>6</v>
      </c>
      <c r="H213" s="11">
        <v>344.10447411984001</v>
      </c>
    </row>
    <row r="214" spans="3:8" x14ac:dyDescent="0.25">
      <c r="C214" s="11">
        <v>5.5</v>
      </c>
      <c r="D214" s="11">
        <v>284.38791020036302</v>
      </c>
      <c r="E214" s="11">
        <v>5.5</v>
      </c>
      <c r="F214" s="11">
        <v>293.18236295085597</v>
      </c>
      <c r="G214" s="11">
        <v>5.5</v>
      </c>
      <c r="H214" s="11">
        <v>313.548623499244</v>
      </c>
    </row>
    <row r="215" spans="3:8" x14ac:dyDescent="0.25">
      <c r="C215" s="11">
        <v>5</v>
      </c>
      <c r="D215" s="11">
        <v>256.51827813480099</v>
      </c>
      <c r="E215" s="11">
        <v>5</v>
      </c>
      <c r="F215" s="11">
        <v>264.51701865956801</v>
      </c>
      <c r="G215" s="11">
        <v>5</v>
      </c>
      <c r="H215" s="11">
        <v>282.99845592968001</v>
      </c>
    </row>
    <row r="216" spans="3:8" x14ac:dyDescent="0.25">
      <c r="C216" s="11">
        <v>4.5</v>
      </c>
      <c r="D216" s="11">
        <v>228.668617831962</v>
      </c>
      <c r="E216" s="11">
        <v>4.5</v>
      </c>
      <c r="F216" s="11">
        <v>235.886291355146</v>
      </c>
      <c r="G216" s="11">
        <v>4.5</v>
      </c>
      <c r="H216" s="11">
        <v>252.47939526536399</v>
      </c>
    </row>
    <row r="217" spans="3:8" x14ac:dyDescent="0.25">
      <c r="C217" s="11">
        <v>4</v>
      </c>
      <c r="D217" s="11">
        <v>200.85697103872701</v>
      </c>
      <c r="E217" s="11">
        <v>4</v>
      </c>
      <c r="F217" s="11">
        <v>207.295074848551</v>
      </c>
      <c r="G217" s="11">
        <v>4</v>
      </c>
      <c r="H217" s="11">
        <v>222.013903491712</v>
      </c>
    </row>
    <row r="218" spans="3:8" x14ac:dyDescent="0.25">
      <c r="C218" s="11">
        <v>3.5</v>
      </c>
      <c r="D218" s="11">
        <v>173.06485404704799</v>
      </c>
      <c r="E218" s="11">
        <v>3.5</v>
      </c>
      <c r="F218" s="11">
        <v>178.75055107771499</v>
      </c>
      <c r="G218" s="11">
        <v>3.5</v>
      </c>
      <c r="H218" s="11">
        <v>191.618312612805</v>
      </c>
    </row>
    <row r="219" spans="3:8" x14ac:dyDescent="0.25">
      <c r="C219" s="11">
        <v>3</v>
      </c>
      <c r="D219" s="11">
        <v>145.29861228748999</v>
      </c>
      <c r="E219" s="11">
        <v>3</v>
      </c>
      <c r="F219" s="11">
        <v>150.22773304898601</v>
      </c>
      <c r="G219" s="11">
        <v>3</v>
      </c>
      <c r="H219" s="11">
        <v>161.26880305232299</v>
      </c>
    </row>
    <row r="220" spans="3:8" x14ac:dyDescent="0.25">
      <c r="C220" s="11">
        <v>2.5</v>
      </c>
      <c r="D220" s="11">
        <v>117.557499543224</v>
      </c>
      <c r="E220" s="11">
        <v>2.5</v>
      </c>
      <c r="F220" s="11">
        <v>121.74859704769401</v>
      </c>
      <c r="G220" s="11">
        <v>2.5</v>
      </c>
      <c r="H220" s="11">
        <v>130.96143199261601</v>
      </c>
    </row>
    <row r="221" spans="3:8" x14ac:dyDescent="0.25">
      <c r="C221" s="11">
        <v>2</v>
      </c>
      <c r="D221" s="11">
        <v>89.782595140292699</v>
      </c>
      <c r="E221" s="11">
        <v>2</v>
      </c>
      <c r="F221" s="11">
        <v>93.242726892917403</v>
      </c>
      <c r="G221" s="11">
        <v>2</v>
      </c>
      <c r="H221" s="11">
        <v>100.673643485859</v>
      </c>
    </row>
    <row r="222" spans="3:8" x14ac:dyDescent="0.25">
      <c r="C222" s="11">
        <v>1.5</v>
      </c>
      <c r="D222" s="11">
        <v>61.897820787910497</v>
      </c>
      <c r="E222" s="11">
        <v>1.5</v>
      </c>
      <c r="F222" s="11">
        <v>64.643841059322796</v>
      </c>
      <c r="G222" s="11">
        <v>1.5</v>
      </c>
      <c r="H222" s="11">
        <v>70.312945969690901</v>
      </c>
    </row>
    <row r="223" spans="3:8" x14ac:dyDescent="0.25">
      <c r="C223" s="11">
        <v>1</v>
      </c>
      <c r="D223" s="11">
        <v>33.887290328682603</v>
      </c>
      <c r="E223" s="11">
        <v>1</v>
      </c>
      <c r="F223" s="11">
        <v>35.903166841887497</v>
      </c>
      <c r="G223" s="11">
        <v>1</v>
      </c>
      <c r="H223" s="11">
        <v>39.788162053262901</v>
      </c>
    </row>
    <row r="224" spans="3:8" x14ac:dyDescent="0.25">
      <c r="C224" s="11">
        <v>0.5</v>
      </c>
      <c r="D224" s="11">
        <v>5.8326258080668998</v>
      </c>
      <c r="E224" s="11">
        <v>0.5</v>
      </c>
      <c r="F224" s="11">
        <v>7.0959726919315003</v>
      </c>
      <c r="G224" s="11">
        <v>0.5</v>
      </c>
      <c r="H224" s="11">
        <v>9.15181882241232</v>
      </c>
    </row>
    <row r="225" spans="3:8" x14ac:dyDescent="0.25">
      <c r="C225" s="11">
        <v>0</v>
      </c>
      <c r="D225" s="11">
        <v>-22.112228467798001</v>
      </c>
      <c r="E225" s="11">
        <v>0</v>
      </c>
      <c r="F225" s="11">
        <v>-21.603075457604699</v>
      </c>
      <c r="G225" s="11">
        <v>0</v>
      </c>
      <c r="H225" s="11">
        <v>-21.398420232219799</v>
      </c>
    </row>
    <row r="226" spans="3:8" x14ac:dyDescent="0.25">
      <c r="C226" s="11">
        <v>-0.5</v>
      </c>
      <c r="D226" s="11">
        <v>-50.021791221726502</v>
      </c>
      <c r="E226" s="11">
        <v>-0.5</v>
      </c>
      <c r="F226" s="11">
        <v>-50.303990942881001</v>
      </c>
      <c r="G226" s="11">
        <v>-0.5</v>
      </c>
      <c r="H226" s="11">
        <v>-52.033455846917498</v>
      </c>
    </row>
    <row r="227" spans="3:8" x14ac:dyDescent="0.25">
      <c r="C227" s="11">
        <v>-1</v>
      </c>
      <c r="D227" s="11">
        <v>-78.085664422218798</v>
      </c>
      <c r="E227" s="11">
        <v>-1</v>
      </c>
      <c r="F227" s="11">
        <v>-79.212341665690204</v>
      </c>
      <c r="G227" s="11">
        <v>-1</v>
      </c>
      <c r="H227" s="11">
        <v>-82.987012860752699</v>
      </c>
    </row>
    <row r="228" spans="3:8" x14ac:dyDescent="0.25">
      <c r="C228" s="11">
        <v>-1.5</v>
      </c>
      <c r="D228" s="11">
        <v>-106.435315751679</v>
      </c>
      <c r="E228" s="11">
        <v>-1.5</v>
      </c>
      <c r="F228" s="11">
        <v>-108.47005622591</v>
      </c>
      <c r="G228" s="11">
        <v>-1.5</v>
      </c>
      <c r="H228" s="11">
        <v>-114.371540174356</v>
      </c>
    </row>
    <row r="229" spans="3:8" x14ac:dyDescent="0.25">
      <c r="C229" s="11">
        <v>-2</v>
      </c>
      <c r="D229" s="11">
        <v>-135.07969002211999</v>
      </c>
      <c r="E229" s="11">
        <v>-2</v>
      </c>
      <c r="F229" s="11">
        <v>-138.041224421545</v>
      </c>
      <c r="G229" s="11">
        <v>-2</v>
      </c>
      <c r="H229" s="11">
        <v>-146.08363688867101</v>
      </c>
    </row>
    <row r="230" spans="3:8" x14ac:dyDescent="0.25">
      <c r="C230" s="11">
        <v>-2.5</v>
      </c>
      <c r="D230" s="11">
        <v>-163.91206905075299</v>
      </c>
      <c r="E230" s="11">
        <v>-2.5</v>
      </c>
      <c r="F230" s="11">
        <v>-167.80821542274501</v>
      </c>
      <c r="G230" s="11">
        <v>-2.5</v>
      </c>
      <c r="H230" s="11">
        <v>-178.024284114463</v>
      </c>
    </row>
    <row r="231" spans="3:8" x14ac:dyDescent="0.25">
      <c r="C231" s="11">
        <v>-3</v>
      </c>
      <c r="D231" s="11">
        <v>-192.90250397789899</v>
      </c>
      <c r="E231" s="11">
        <v>-3</v>
      </c>
      <c r="F231" s="11">
        <v>-197.73944564939799</v>
      </c>
      <c r="G231" s="11">
        <v>-3</v>
      </c>
      <c r="H231" s="11">
        <v>-210.12026335957501</v>
      </c>
    </row>
    <row r="232" spans="3:8" x14ac:dyDescent="0.25">
      <c r="C232" s="11">
        <v>-3.5</v>
      </c>
      <c r="D232" s="11">
        <v>-222.000441329247</v>
      </c>
      <c r="E232" s="11">
        <v>-3.5</v>
      </c>
      <c r="F232" s="11">
        <v>-227.79146799896199</v>
      </c>
      <c r="G232" s="11">
        <v>-3.5</v>
      </c>
      <c r="H232" s="11">
        <v>-242.298880083954</v>
      </c>
    </row>
    <row r="233" spans="3:8" x14ac:dyDescent="0.25">
      <c r="C233" s="11">
        <v>-4</v>
      </c>
      <c r="D233" s="11">
        <v>-251.186277143193</v>
      </c>
      <c r="E233" s="11">
        <v>-4</v>
      </c>
      <c r="F233" s="11">
        <v>-257.91160189289099</v>
      </c>
      <c r="G233" s="11">
        <v>-4</v>
      </c>
      <c r="H233" s="11">
        <v>-274.50734201824599</v>
      </c>
    </row>
    <row r="234" spans="3:8" x14ac:dyDescent="0.25">
      <c r="C234" s="11">
        <v>-4.5</v>
      </c>
      <c r="D234" s="11">
        <v>-280.404160659436</v>
      </c>
      <c r="E234" s="11">
        <v>-4.5</v>
      </c>
      <c r="F234" s="11">
        <v>-288.05314415977199</v>
      </c>
      <c r="G234" s="11">
        <v>-4.5</v>
      </c>
      <c r="H234" s="11">
        <v>-306.74295656026101</v>
      </c>
    </row>
    <row r="235" spans="3:8" x14ac:dyDescent="0.25">
      <c r="C235" s="11">
        <v>-5</v>
      </c>
      <c r="D235" s="11">
        <v>-309.63153731024801</v>
      </c>
      <c r="E235" s="11">
        <v>-5</v>
      </c>
      <c r="F235" s="11">
        <v>-318.21470341042198</v>
      </c>
      <c r="G235" s="11">
        <v>-5</v>
      </c>
      <c r="H235" s="11">
        <v>-338.99957578460999</v>
      </c>
    </row>
    <row r="236" spans="3:8" x14ac:dyDescent="0.25">
      <c r="C236" s="11">
        <v>-5.5</v>
      </c>
      <c r="D236" s="11">
        <v>-338.86978571025497</v>
      </c>
      <c r="E236" s="11">
        <v>-5.5</v>
      </c>
      <c r="F236" s="11">
        <v>-348.37981573082902</v>
      </c>
      <c r="G236" s="11">
        <v>-5.5</v>
      </c>
      <c r="H236" s="11">
        <v>-371.27827494833798</v>
      </c>
    </row>
    <row r="237" spans="3:8" x14ac:dyDescent="0.25">
      <c r="C237" s="11">
        <v>-6</v>
      </c>
      <c r="D237" s="11">
        <v>-368.11702352256998</v>
      </c>
      <c r="E237" s="11">
        <v>-6</v>
      </c>
      <c r="F237" s="11">
        <v>-378.55890839074902</v>
      </c>
      <c r="G237" s="11">
        <v>-6</v>
      </c>
      <c r="H237" s="11">
        <v>-403.58088152312098</v>
      </c>
    </row>
    <row r="238" spans="3:8" x14ac:dyDescent="0.25">
      <c r="C238" s="11">
        <v>-6.5</v>
      </c>
      <c r="D238" s="11">
        <v>-397.36971763851</v>
      </c>
      <c r="E238" s="11">
        <v>-6.5</v>
      </c>
      <c r="F238" s="11">
        <v>-408.75845615857298</v>
      </c>
      <c r="G238" s="11">
        <v>-6.5</v>
      </c>
      <c r="H238" s="11">
        <v>-435.88869634578799</v>
      </c>
    </row>
    <row r="239" spans="3:8" x14ac:dyDescent="0.25">
      <c r="C239" s="11">
        <v>-7</v>
      </c>
      <c r="D239" s="11">
        <v>-426.63876808425601</v>
      </c>
      <c r="E239" s="11">
        <v>-7</v>
      </c>
      <c r="F239" s="11">
        <v>-438.972901215268</v>
      </c>
      <c r="G239" s="11">
        <v>-7</v>
      </c>
      <c r="H239" s="11">
        <v>-468.19486084867998</v>
      </c>
    </row>
    <row r="240" spans="3:8" x14ac:dyDescent="0.25">
      <c r="C240" s="11">
        <v>-7.5</v>
      </c>
      <c r="D240" s="11">
        <v>-455.83794811199601</v>
      </c>
      <c r="E240" s="11">
        <v>-7.5</v>
      </c>
      <c r="F240" s="11">
        <v>-469.11661732258199</v>
      </c>
      <c r="G240" s="11">
        <v>-7.5</v>
      </c>
      <c r="H240" s="11">
        <v>-500.38390417075101</v>
      </c>
    </row>
    <row r="241" spans="3:8" x14ac:dyDescent="0.25">
      <c r="C241" s="11">
        <v>-8</v>
      </c>
      <c r="D241" s="11">
        <v>-484.64926486282201</v>
      </c>
      <c r="E241" s="11">
        <v>-8</v>
      </c>
      <c r="F241" s="11">
        <v>-498.84016897389603</v>
      </c>
      <c r="G241" s="11">
        <v>-8</v>
      </c>
      <c r="H241" s="11">
        <v>-532.12474980982904</v>
      </c>
    </row>
    <row r="242" spans="3:8" x14ac:dyDescent="0.25">
      <c r="C242" s="11">
        <v>-8.5</v>
      </c>
      <c r="D242" s="11">
        <v>-512.97927423412705</v>
      </c>
      <c r="E242" s="11">
        <v>-8.5</v>
      </c>
      <c r="F242" s="11">
        <v>-528.06945828186895</v>
      </c>
      <c r="G242" s="11">
        <v>-8.5</v>
      </c>
      <c r="H242" s="11">
        <v>-563.34754314153804</v>
      </c>
    </row>
    <row r="243" spans="3:8" x14ac:dyDescent="0.25">
      <c r="C243" s="11">
        <v>-9</v>
      </c>
      <c r="D243" s="11">
        <v>-541.16520005383904</v>
      </c>
      <c r="E243" s="11">
        <v>-9</v>
      </c>
      <c r="F243" s="11">
        <v>-557.14121923943799</v>
      </c>
      <c r="G243" s="11">
        <v>-9</v>
      </c>
      <c r="H243" s="11">
        <v>-594.37341041664695</v>
      </c>
    </row>
    <row r="244" spans="3:8" x14ac:dyDescent="0.25">
      <c r="C244" s="11">
        <v>-9.5</v>
      </c>
      <c r="D244" s="11">
        <v>-569.19995448521797</v>
      </c>
      <c r="E244" s="11">
        <v>-9.5</v>
      </c>
      <c r="F244" s="11">
        <v>-586.04962839463201</v>
      </c>
      <c r="G244" s="11">
        <v>-9.5</v>
      </c>
      <c r="H244" s="11">
        <v>-625.19966219237995</v>
      </c>
    </row>
    <row r="245" spans="3:8" x14ac:dyDescent="0.25">
      <c r="C245" s="11">
        <v>-10</v>
      </c>
      <c r="D245" s="11">
        <v>-597.05088567003997</v>
      </c>
      <c r="E245" s="11">
        <v>-10</v>
      </c>
      <c r="F245" s="11">
        <v>-614.73968036790404</v>
      </c>
      <c r="G245" s="11">
        <v>-10</v>
      </c>
      <c r="H245" s="11">
        <v>-655.77383050063895</v>
      </c>
    </row>
    <row r="246" spans="3:8" x14ac:dyDescent="0.25">
      <c r="C246" s="11">
        <v>-10.5</v>
      </c>
      <c r="D246" s="11">
        <v>-624.68319842352003</v>
      </c>
      <c r="E246" s="11">
        <v>-10.5</v>
      </c>
      <c r="F246" s="11">
        <v>-643.20569954032203</v>
      </c>
      <c r="G246" s="11">
        <v>-10.5</v>
      </c>
      <c r="H246" s="11">
        <v>-686.12896169307896</v>
      </c>
    </row>
    <row r="247" spans="3:8" x14ac:dyDescent="0.25">
      <c r="C247" s="11">
        <v>-11</v>
      </c>
      <c r="D247" s="11">
        <v>-652.13374880732601</v>
      </c>
      <c r="E247" s="11">
        <v>-11</v>
      </c>
      <c r="F247" s="11">
        <v>-671.46620234867999</v>
      </c>
      <c r="G247" s="11">
        <v>-11</v>
      </c>
      <c r="H247" s="11">
        <v>-716.21982423300994</v>
      </c>
    </row>
    <row r="248" spans="3:8" x14ac:dyDescent="0.25">
      <c r="C248" s="11">
        <v>-11.5</v>
      </c>
      <c r="D248" s="11">
        <v>-679.35877496305204</v>
      </c>
      <c r="E248" s="11">
        <v>-11.5</v>
      </c>
      <c r="F248" s="11">
        <v>-699.47349882832805</v>
      </c>
      <c r="G248" s="11">
        <v>-11.5</v>
      </c>
      <c r="H248" s="11">
        <v>-746.04266673965196</v>
      </c>
    </row>
    <row r="249" spans="3:8" x14ac:dyDescent="0.25">
      <c r="C249" s="11">
        <v>-12</v>
      </c>
      <c r="D249" s="11">
        <v>-706.32920679228005</v>
      </c>
      <c r="E249" s="11">
        <v>-12</v>
      </c>
      <c r="F249" s="11">
        <v>-727.22365677521202</v>
      </c>
      <c r="G249" s="11">
        <v>-12</v>
      </c>
      <c r="H249" s="11">
        <v>-775.55402320170003</v>
      </c>
    </row>
    <row r="250" spans="3:8" x14ac:dyDescent="0.25">
      <c r="C250" s="11">
        <v>-12.5</v>
      </c>
      <c r="D250" s="11">
        <v>-733.082229289152</v>
      </c>
      <c r="E250" s="11">
        <v>-12.5</v>
      </c>
      <c r="F250" s="11">
        <v>-754.75111276066696</v>
      </c>
      <c r="G250" s="11">
        <v>-12.5</v>
      </c>
      <c r="H250" s="11">
        <v>-804.807292100724</v>
      </c>
    </row>
    <row r="251" spans="3:8" x14ac:dyDescent="0.25">
      <c r="C251" s="11">
        <v>-13</v>
      </c>
      <c r="D251" s="11">
        <v>-759.61163529614305</v>
      </c>
      <c r="E251" s="11">
        <v>-13</v>
      </c>
      <c r="F251" s="11">
        <v>-782.01790431868199</v>
      </c>
      <c r="G251" s="11">
        <v>-13</v>
      </c>
      <c r="H251" s="11">
        <v>-833.78053251746599</v>
      </c>
    </row>
    <row r="252" spans="3:8" x14ac:dyDescent="0.25">
      <c r="C252" s="11">
        <v>-13.5</v>
      </c>
      <c r="D252" s="11">
        <v>-785.89917300675302</v>
      </c>
      <c r="E252" s="11">
        <v>-13.5</v>
      </c>
      <c r="F252" s="11">
        <v>-809.01848852021499</v>
      </c>
      <c r="G252" s="11">
        <v>-13.5</v>
      </c>
      <c r="H252" s="11">
        <v>-862.50020217203405</v>
      </c>
    </row>
    <row r="253" spans="3:8" x14ac:dyDescent="0.25">
      <c r="C253" s="11">
        <v>-14</v>
      </c>
      <c r="D253" s="11">
        <v>-811.92084896774895</v>
      </c>
      <c r="E253" s="11">
        <v>-14</v>
      </c>
      <c r="F253" s="11">
        <v>-835.73492804260798</v>
      </c>
      <c r="G253" s="11">
        <v>-14</v>
      </c>
      <c r="H253" s="11">
        <v>-890.90064742245397</v>
      </c>
    </row>
    <row r="254" spans="3:8" x14ac:dyDescent="0.25">
      <c r="C254" s="11">
        <v>-14.5</v>
      </c>
      <c r="D254" s="11">
        <v>-837.672015514029</v>
      </c>
      <c r="E254" s="11">
        <v>-14.5</v>
      </c>
      <c r="F254" s="11">
        <v>-862.17740088506696</v>
      </c>
      <c r="G254" s="11">
        <v>-14.5</v>
      </c>
      <c r="H254" s="11">
        <v>-918.99696412658102</v>
      </c>
    </row>
    <row r="255" spans="3:8" x14ac:dyDescent="0.25">
      <c r="C255" s="11">
        <v>-15</v>
      </c>
      <c r="D255" s="11">
        <v>-863.14616006335996</v>
      </c>
      <c r="E255" s="11">
        <v>-15</v>
      </c>
      <c r="F255" s="11">
        <v>-888.35117483955401</v>
      </c>
      <c r="G255" s="11">
        <v>-15</v>
      </c>
      <c r="H255" s="11">
        <v>-946.76119226546098</v>
      </c>
    </row>
    <row r="256" spans="3:8" x14ac:dyDescent="0.25">
      <c r="C256" s="11">
        <v>-15.5</v>
      </c>
      <c r="D256" s="11">
        <v>-888.34785685829604</v>
      </c>
      <c r="E256" s="11">
        <v>-15.5</v>
      </c>
      <c r="F256" s="11">
        <v>-914.19868965171395</v>
      </c>
      <c r="G256" s="11">
        <v>-15.5</v>
      </c>
      <c r="H256" s="11">
        <v>-974.20078558630496</v>
      </c>
    </row>
    <row r="257" spans="3:8" x14ac:dyDescent="0.25">
      <c r="C257" s="11">
        <v>-16</v>
      </c>
      <c r="D257" s="11">
        <v>-913.20969500968897</v>
      </c>
      <c r="E257" s="11">
        <v>-16</v>
      </c>
      <c r="F257" s="11">
        <v>-939.69032451232204</v>
      </c>
      <c r="G257" s="11">
        <v>-16</v>
      </c>
      <c r="H257" s="11">
        <v>-1001.27301511094</v>
      </c>
    </row>
    <row r="258" spans="3:8" x14ac:dyDescent="0.25">
      <c r="C258" s="11">
        <v>-16.5</v>
      </c>
      <c r="D258" s="11">
        <v>-937.68370533651296</v>
      </c>
      <c r="E258" s="11">
        <v>-16.5</v>
      </c>
      <c r="F258" s="11">
        <v>-964.84203895259498</v>
      </c>
      <c r="G258" s="11">
        <v>-16.5</v>
      </c>
      <c r="H258" s="11">
        <v>-1028.0029585186801</v>
      </c>
    </row>
    <row r="259" spans="3:8" x14ac:dyDescent="0.25">
      <c r="C259" s="11">
        <v>-17</v>
      </c>
      <c r="D259" s="11">
        <v>-961.83859257008703</v>
      </c>
      <c r="E259" s="11">
        <v>-17</v>
      </c>
      <c r="F259" s="11">
        <v>-989.64810998247401</v>
      </c>
      <c r="G259" s="11">
        <v>-17</v>
      </c>
      <c r="H259" s="11">
        <v>-1054.39164637218</v>
      </c>
    </row>
    <row r="260" spans="3:8" x14ac:dyDescent="0.25">
      <c r="C260" s="11">
        <v>-17.5</v>
      </c>
      <c r="D260" s="11">
        <v>-985.66656248830895</v>
      </c>
      <c r="E260" s="11">
        <v>-17.5</v>
      </c>
      <c r="F260" s="11">
        <v>-1014.06775165196</v>
      </c>
      <c r="G260" s="11">
        <v>-17.5</v>
      </c>
      <c r="H260" s="11">
        <v>-1080.4408370184101</v>
      </c>
    </row>
    <row r="261" spans="3:8" x14ac:dyDescent="0.25">
      <c r="C261" s="11">
        <v>-18</v>
      </c>
      <c r="D261" s="11">
        <v>-1009.1228777794699</v>
      </c>
      <c r="E261" s="11">
        <v>-18</v>
      </c>
      <c r="F261" s="11">
        <v>-1038.1556847402101</v>
      </c>
      <c r="G261" s="11">
        <v>-18</v>
      </c>
      <c r="H261" s="11">
        <v>-1106.1344590282099</v>
      </c>
    </row>
    <row r="262" spans="3:8" x14ac:dyDescent="0.25">
      <c r="C262" s="11">
        <v>-18.5</v>
      </c>
      <c r="D262" s="11">
        <v>-1032.2228158509799</v>
      </c>
      <c r="E262" s="11">
        <v>-18.5</v>
      </c>
      <c r="F262" s="11">
        <v>-1061.8935377580999</v>
      </c>
      <c r="G262" s="11">
        <v>-18.5</v>
      </c>
      <c r="H262" s="11">
        <v>-1131.51972356192</v>
      </c>
    </row>
    <row r="263" spans="3:8" x14ac:dyDescent="0.25">
      <c r="C263" s="11">
        <v>-19</v>
      </c>
      <c r="D263" s="11">
        <v>-1054.9816048099699</v>
      </c>
      <c r="E263" s="11">
        <v>-19</v>
      </c>
      <c r="F263" s="11">
        <v>-1085.25113446861</v>
      </c>
      <c r="G263" s="11">
        <v>-19</v>
      </c>
      <c r="H263" s="11">
        <v>-1156.5827862261399</v>
      </c>
    </row>
    <row r="264" spans="3:8" x14ac:dyDescent="0.25">
      <c r="C264" s="11">
        <v>-19.5</v>
      </c>
      <c r="D264" s="11">
        <v>-1077.3492723025499</v>
      </c>
      <c r="E264" s="11">
        <v>-19.5</v>
      </c>
      <c r="F264" s="11">
        <v>-1108.3458848847999</v>
      </c>
      <c r="G264" s="11">
        <v>-19.5</v>
      </c>
      <c r="H264" s="11">
        <v>-1181.32348466077</v>
      </c>
    </row>
    <row r="265" spans="3:8" x14ac:dyDescent="0.25">
      <c r="C265" s="11">
        <v>-20</v>
      </c>
      <c r="D265" s="11">
        <v>-1099.41943540948</v>
      </c>
      <c r="E265" s="11">
        <v>-20</v>
      </c>
      <c r="F265" s="11">
        <v>-1131.1623943043201</v>
      </c>
      <c r="G265" s="11">
        <v>-20</v>
      </c>
      <c r="H265" s="11">
        <v>-1205.7462643899601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/>
  </sheetViews>
  <sheetFormatPr defaultColWidth="8.7109375" defaultRowHeight="15" x14ac:dyDescent="0.25"/>
  <cols>
    <col min="1" max="8" width="20" customWidth="1"/>
  </cols>
  <sheetData>
    <row r="1" spans="1:8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x14ac:dyDescent="0.25">
      <c r="A2" s="11">
        <v>-20</v>
      </c>
      <c r="B2" s="11">
        <v>-1513.1832030242299</v>
      </c>
      <c r="C2" s="11">
        <v>-20</v>
      </c>
      <c r="D2" s="11">
        <v>-1099.41943540948</v>
      </c>
      <c r="E2" s="11">
        <v>-20</v>
      </c>
      <c r="F2" s="11">
        <v>-1131.1623943043201</v>
      </c>
      <c r="G2" s="11">
        <v>-20</v>
      </c>
      <c r="H2" s="11">
        <v>-1205.7462643899601</v>
      </c>
    </row>
    <row r="3" spans="1:8" x14ac:dyDescent="0.25">
      <c r="A3" s="11">
        <v>-8</v>
      </c>
      <c r="B3" s="11">
        <v>-674.15323293532003</v>
      </c>
      <c r="C3" s="11">
        <v>-8</v>
      </c>
      <c r="D3" s="11">
        <v>-471.79600431509698</v>
      </c>
      <c r="E3" s="11">
        <v>-8</v>
      </c>
      <c r="F3" s="11">
        <v>-486.26939754943999</v>
      </c>
      <c r="G3" s="11">
        <v>-8</v>
      </c>
      <c r="H3" s="11">
        <v>-519.49495237399196</v>
      </c>
    </row>
    <row r="4" spans="1:8" x14ac:dyDescent="0.25">
      <c r="A4" s="11">
        <v>-2</v>
      </c>
      <c r="B4" s="11">
        <v>-169.659064670042</v>
      </c>
      <c r="C4" s="11">
        <v>-2</v>
      </c>
      <c r="D4" s="11">
        <v>-118.408930830722</v>
      </c>
      <c r="E4" s="11">
        <v>-2</v>
      </c>
      <c r="F4" s="11">
        <v>-122.045669611896</v>
      </c>
      <c r="G4" s="11">
        <v>-2</v>
      </c>
      <c r="H4" s="11">
        <v>-130.410419685942</v>
      </c>
    </row>
    <row r="5" spans="1:8" x14ac:dyDescent="0.25">
      <c r="A5" s="11">
        <v>2</v>
      </c>
      <c r="B5" s="11">
        <v>168.62127273173601</v>
      </c>
      <c r="C5" s="11">
        <v>2</v>
      </c>
      <c r="D5" s="11">
        <v>117.437942878884</v>
      </c>
      <c r="E5" s="11">
        <v>2</v>
      </c>
      <c r="F5" s="11">
        <v>121.14432285053999</v>
      </c>
      <c r="G5" s="11">
        <v>2</v>
      </c>
      <c r="H5" s="11">
        <v>129.559682956491</v>
      </c>
    </row>
    <row r="6" spans="1:8" x14ac:dyDescent="0.25">
      <c r="A6" s="11">
        <v>8</v>
      </c>
      <c r="B6" s="11">
        <v>669.52329876875694</v>
      </c>
      <c r="C6" s="11">
        <v>8</v>
      </c>
      <c r="D6" s="11">
        <v>467.85105389715397</v>
      </c>
      <c r="E6" s="11">
        <v>8</v>
      </c>
      <c r="F6" s="11">
        <v>482.50485938243401</v>
      </c>
      <c r="G6" s="11">
        <v>8</v>
      </c>
      <c r="H6" s="11">
        <v>515.79257874989605</v>
      </c>
    </row>
    <row r="7" spans="1:8" x14ac:dyDescent="0.25">
      <c r="A7" s="11">
        <v>20</v>
      </c>
      <c r="B7" s="11">
        <v>1508.4473834876801</v>
      </c>
      <c r="C7" s="11">
        <v>20</v>
      </c>
      <c r="D7" s="11">
        <v>1093.93229669568</v>
      </c>
      <c r="E7" s="11">
        <v>20</v>
      </c>
      <c r="F7" s="11">
        <v>1125.74402524059</v>
      </c>
      <c r="G7" s="11">
        <v>20</v>
      </c>
      <c r="H7" s="11">
        <v>1200.29940937627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opLeftCell="D1" zoomScaleNormal="100" workbookViewId="0">
      <selection activeCell="E11" sqref="E11"/>
    </sheetView>
  </sheetViews>
  <sheetFormatPr defaultColWidth="8.7109375" defaultRowHeight="15" x14ac:dyDescent="0.25"/>
  <cols>
    <col min="1" max="8" width="22" customWidth="1"/>
  </cols>
  <sheetData>
    <row r="1" spans="1:8" s="13" customFormat="1" ht="42" customHeight="1" x14ac:dyDescent="0.25">
      <c r="A1" s="12" t="s">
        <v>39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  <c r="G1" s="12" t="s">
        <v>45</v>
      </c>
      <c r="H1" s="12" t="s">
        <v>46</v>
      </c>
    </row>
    <row r="2" spans="1:8" x14ac:dyDescent="0.25">
      <c r="A2">
        <v>2</v>
      </c>
      <c r="B2">
        <v>84.310636365868007</v>
      </c>
      <c r="C2">
        <v>2</v>
      </c>
      <c r="D2">
        <v>58.718971439441802</v>
      </c>
      <c r="E2">
        <v>2</v>
      </c>
      <c r="F2">
        <v>60.572161425270103</v>
      </c>
      <c r="G2">
        <v>2</v>
      </c>
      <c r="H2">
        <v>64.7798414782457</v>
      </c>
    </row>
    <row r="3" spans="1:8" x14ac:dyDescent="0.25">
      <c r="A3">
        <v>8</v>
      </c>
      <c r="B3">
        <v>83.690412346094604</v>
      </c>
      <c r="C3">
        <v>8</v>
      </c>
      <c r="D3">
        <v>58.481381737144197</v>
      </c>
      <c r="E3">
        <v>8</v>
      </c>
      <c r="F3">
        <v>60.3131074228043</v>
      </c>
      <c r="G3">
        <v>8</v>
      </c>
      <c r="H3">
        <v>64.474072343737006</v>
      </c>
    </row>
    <row r="4" spans="1:8" x14ac:dyDescent="0.25">
      <c r="A4">
        <v>20</v>
      </c>
      <c r="B4">
        <v>75.422369174383704</v>
      </c>
      <c r="C4">
        <v>20</v>
      </c>
      <c r="D4">
        <v>54.696614834784199</v>
      </c>
      <c r="E4">
        <v>20</v>
      </c>
      <c r="F4">
        <v>56.287201262029498</v>
      </c>
      <c r="G4">
        <v>20</v>
      </c>
      <c r="H4">
        <v>60.014970468813402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zoomScaleNormal="100" workbookViewId="0"/>
  </sheetViews>
  <sheetFormatPr defaultColWidth="8.7109375" defaultRowHeight="15" x14ac:dyDescent="0.25"/>
  <cols>
    <col min="1" max="2" width="22" customWidth="1"/>
    <col min="3" max="3" width="37.5703125" bestFit="1" customWidth="1"/>
    <col min="4" max="8" width="22" customWidth="1"/>
  </cols>
  <sheetData>
    <row r="1" spans="1:8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</row>
    <row r="2" spans="1:8" x14ac:dyDescent="0.25">
      <c r="A2">
        <v>2</v>
      </c>
      <c r="B2">
        <v>168.62127273173601</v>
      </c>
      <c r="C2">
        <v>2</v>
      </c>
      <c r="D2">
        <v>117.437942878884</v>
      </c>
      <c r="E2">
        <v>2</v>
      </c>
      <c r="F2">
        <v>121.14432285053999</v>
      </c>
      <c r="G2">
        <v>2</v>
      </c>
      <c r="H2">
        <v>129.559682956491</v>
      </c>
    </row>
    <row r="3" spans="1:8" x14ac:dyDescent="0.25">
      <c r="A3">
        <v>8</v>
      </c>
      <c r="B3">
        <v>669.52329876875694</v>
      </c>
      <c r="C3">
        <v>8</v>
      </c>
      <c r="D3">
        <v>467.85105389715397</v>
      </c>
      <c r="E3">
        <v>8</v>
      </c>
      <c r="F3">
        <v>482.50485938243401</v>
      </c>
      <c r="G3">
        <v>8</v>
      </c>
      <c r="H3">
        <v>515.79257874989605</v>
      </c>
    </row>
    <row r="4" spans="1:8" x14ac:dyDescent="0.25">
      <c r="A4">
        <v>20</v>
      </c>
      <c r="B4">
        <v>1508.4473834876801</v>
      </c>
      <c r="C4">
        <v>20</v>
      </c>
      <c r="D4">
        <v>1093.93229669568</v>
      </c>
      <c r="E4">
        <v>20</v>
      </c>
      <c r="F4">
        <v>1125.74402524059</v>
      </c>
      <c r="G4">
        <v>20</v>
      </c>
      <c r="H4">
        <v>1200.29940937627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Hysteresis</vt:lpstr>
      <vt:lpstr>Envelopes</vt:lpstr>
      <vt:lpstr>Stiffness</vt:lpstr>
      <vt:lpstr>CapacityCurve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Adil</cp:lastModifiedBy>
  <cp:revision>1</cp:revision>
  <dcterms:created xsi:type="dcterms:W3CDTF">2026-05-25T11:01:53Z</dcterms:created>
  <dcterms:modified xsi:type="dcterms:W3CDTF">2026-05-25T11:20:20Z</dcterms:modified>
  <dc:language>en-US</dc:language>
</cp:coreProperties>
</file>