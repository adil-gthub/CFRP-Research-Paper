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Other computers\My HP Laptop\D\CFRP\Stage 4\Final_V3_ACI_UD630\Excels\"/>
    </mc:Choice>
  </mc:AlternateContent>
  <xr:revisionPtr revIDLastSave="0" documentId="13_ncr:1_{49FF132D-EF20-461D-815A-C69D4F6A76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1" l="1"/>
  <c r="F19" i="1"/>
  <c r="D20" i="1"/>
  <c r="D19" i="1"/>
  <c r="H13" i="1"/>
  <c r="F13" i="1"/>
  <c r="D13" i="1"/>
  <c r="B13" i="1"/>
  <c r="H17" i="1" l="1"/>
  <c r="F17" i="1"/>
  <c r="D17" i="1"/>
  <c r="B17" i="1"/>
</calcChain>
</file>

<file path=xl/sharedStrings.xml><?xml version="1.0" encoding="utf-8"?>
<sst xmlns="http://schemas.openxmlformats.org/spreadsheetml/2006/main" count="72" uniqueCount="25">
  <si>
    <t>Model</t>
  </si>
  <si>
    <t>M1_Original_RCC</t>
  </si>
  <si>
    <t>Protocol amplitudes (mm)</t>
  </si>
  <si>
    <t>2, 4, 8, 12, 16, 20, 30, 40, 50, 60, 70, 80, 90, 100</t>
  </si>
  <si>
    <t>Cycles per amplitude</t>
  </si>
  <si>
    <t>Total turning points</t>
  </si>
  <si>
    <t>Total integration steps</t>
  </si>
  <si>
    <t>Roof height (mm)</t>
  </si>
  <si>
    <t>Peak +V (kN)</t>
  </si>
  <si>
    <t>Peak −V (kN)</t>
  </si>
  <si>
    <t>Disp @ +V peak (mm)</t>
  </si>
  <si>
    <t>Disp @ −V peak (mm)</t>
  </si>
  <si>
    <t>Roof drift @ +V peak (%)</t>
  </si>
  <si>
    <t>Ultimate disp (mm)</t>
  </si>
  <si>
    <t>Initial secant K (kN/mm)</t>
  </si>
  <si>
    <t>Final secant K (kN/mm)</t>
  </si>
  <si>
    <t>Stiffness retained (%)</t>
  </si>
  <si>
    <t>M2_Degraded_RCC</t>
  </si>
  <si>
    <t>M3_CFRP_GF</t>
  </si>
  <si>
    <t>M4_CFRP_Full</t>
  </si>
  <si>
    <t>.</t>
  </si>
  <si>
    <t>M1 — Original RCC 
(M30, full As, ductile detailing)</t>
  </si>
  <si>
    <t>M2 — Degraded RCC 
(M20 after 15 yr, As × 0.85 corroded)</t>
  </si>
  <si>
    <t>M3 — CFRP retrofit, 
ground-floor columns + beams only</t>
  </si>
  <si>
    <t>M4 — CFRP retrofit, 
every storey wrapped &amp; laminated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</si>
</sst>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.000"/>
    <numFmt numFmtId="166" formatCode="#,##0.0000"/>
  </numFmts>
  <fonts count="5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2"/>
      <color rgb="FF000000"/>
      <name val="Arial"/>
      <family val="2"/>
    </font>
    <font>
      <b/>
      <sz val="12"/>
      <color rgb="FF0000FF"/>
      <name val="Arial"/>
      <family val="2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/>
    </xf>
    <xf numFmtId="4" fontId="3" fillId="3" borderId="1" xfId="0" applyNumberFormat="1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4" fontId="3" fillId="5" borderId="1" xfId="0" applyNumberFormat="1" applyFont="1" applyFill="1" applyBorder="1" applyAlignment="1">
      <alignment horizontal="center" vertical="center"/>
    </xf>
    <xf numFmtId="2" fontId="2" fillId="4" borderId="1" xfId="0" applyNumberFormat="1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G5" sqref="G5"/>
    </sheetView>
  </sheetViews>
  <sheetFormatPr defaultRowHeight="15" x14ac:dyDescent="0.25"/>
  <cols>
    <col min="1" max="8" width="29.28515625" customWidth="1"/>
  </cols>
  <sheetData>
    <row r="1" spans="1:8" s="1" customFormat="1" ht="45" customHeight="1" x14ac:dyDescent="0.25">
      <c r="A1" s="19" t="s">
        <v>21</v>
      </c>
      <c r="B1" s="20"/>
      <c r="C1" s="21" t="s">
        <v>22</v>
      </c>
      <c r="D1" s="22"/>
      <c r="E1" s="23" t="s">
        <v>23</v>
      </c>
      <c r="F1" s="24"/>
      <c r="G1" s="25" t="s">
        <v>24</v>
      </c>
      <c r="H1" s="26"/>
    </row>
    <row r="2" spans="1:8" ht="24" customHeight="1" x14ac:dyDescent="0.25">
      <c r="A2" s="3" t="s">
        <v>20</v>
      </c>
      <c r="B2" s="4" t="s">
        <v>1</v>
      </c>
      <c r="C2" s="5" t="s">
        <v>0</v>
      </c>
      <c r="D2" s="6" t="s">
        <v>17</v>
      </c>
      <c r="E2" s="27" t="s">
        <v>0</v>
      </c>
      <c r="F2" s="28" t="s">
        <v>18</v>
      </c>
      <c r="G2" s="29" t="s">
        <v>0</v>
      </c>
      <c r="H2" s="30" t="s">
        <v>19</v>
      </c>
    </row>
    <row r="3" spans="1:8" s="2" customFormat="1" ht="39.75" customHeight="1" x14ac:dyDescent="0.25">
      <c r="A3" s="7" t="s">
        <v>2</v>
      </c>
      <c r="B3" s="8" t="s">
        <v>3</v>
      </c>
      <c r="C3" s="9" t="s">
        <v>2</v>
      </c>
      <c r="D3" s="10" t="s">
        <v>3</v>
      </c>
      <c r="E3" s="11" t="s">
        <v>2</v>
      </c>
      <c r="F3" s="12" t="s">
        <v>3</v>
      </c>
      <c r="G3" s="13" t="s">
        <v>2</v>
      </c>
      <c r="H3" s="14" t="s">
        <v>3</v>
      </c>
    </row>
    <row r="4" spans="1:8" ht="24" customHeight="1" x14ac:dyDescent="0.25">
      <c r="A4" s="3" t="s">
        <v>4</v>
      </c>
      <c r="B4" s="4">
        <v>3</v>
      </c>
      <c r="C4" s="5" t="s">
        <v>4</v>
      </c>
      <c r="D4" s="6">
        <v>3</v>
      </c>
      <c r="E4" s="27" t="s">
        <v>4</v>
      </c>
      <c r="F4" s="28">
        <v>3</v>
      </c>
      <c r="G4" s="29" t="s">
        <v>4</v>
      </c>
      <c r="H4" s="30">
        <v>3</v>
      </c>
    </row>
    <row r="5" spans="1:8" ht="24" customHeight="1" x14ac:dyDescent="0.25">
      <c r="A5" s="3" t="s">
        <v>5</v>
      </c>
      <c r="B5" s="4">
        <v>84</v>
      </c>
      <c r="C5" s="5" t="s">
        <v>5</v>
      </c>
      <c r="D5" s="6">
        <v>84</v>
      </c>
      <c r="E5" s="27" t="s">
        <v>5</v>
      </c>
      <c r="F5" s="28">
        <v>84</v>
      </c>
      <c r="G5" s="29" t="s">
        <v>5</v>
      </c>
      <c r="H5" s="30">
        <v>84</v>
      </c>
    </row>
    <row r="6" spans="1:8" ht="24" customHeight="1" x14ac:dyDescent="0.25">
      <c r="A6" s="3" t="s">
        <v>6</v>
      </c>
      <c r="B6" s="4">
        <v>5832</v>
      </c>
      <c r="C6" s="5" t="s">
        <v>6</v>
      </c>
      <c r="D6" s="6">
        <v>5832</v>
      </c>
      <c r="E6" s="27" t="s">
        <v>6</v>
      </c>
      <c r="F6" s="28">
        <v>11982</v>
      </c>
      <c r="G6" s="29" t="s">
        <v>6</v>
      </c>
      <c r="H6" s="30">
        <v>11982</v>
      </c>
    </row>
    <row r="7" spans="1:8" ht="24" customHeight="1" x14ac:dyDescent="0.25">
      <c r="A7" s="3" t="s">
        <v>7</v>
      </c>
      <c r="B7" s="4">
        <v>17500</v>
      </c>
      <c r="C7" s="5" t="s">
        <v>7</v>
      </c>
      <c r="D7" s="6">
        <v>17500</v>
      </c>
      <c r="E7" s="27" t="s">
        <v>7</v>
      </c>
      <c r="F7" s="28">
        <v>17500</v>
      </c>
      <c r="G7" s="29" t="s">
        <v>7</v>
      </c>
      <c r="H7" s="30">
        <v>17500</v>
      </c>
    </row>
    <row r="8" spans="1:8" ht="24" customHeight="1" x14ac:dyDescent="0.25">
      <c r="A8" s="3"/>
      <c r="B8" s="4"/>
      <c r="C8" s="5"/>
      <c r="D8" s="6"/>
      <c r="E8" s="27"/>
      <c r="F8" s="28"/>
      <c r="G8" s="29"/>
      <c r="H8" s="30"/>
    </row>
    <row r="9" spans="1:8" ht="24" customHeight="1" x14ac:dyDescent="0.25">
      <c r="A9" s="3" t="s">
        <v>8</v>
      </c>
      <c r="B9" s="15">
        <v>3320.4227317805539</v>
      </c>
      <c r="C9" s="5" t="s">
        <v>8</v>
      </c>
      <c r="D9" s="16">
        <v>2749.467654765403</v>
      </c>
      <c r="E9" s="27" t="s">
        <v>8</v>
      </c>
      <c r="F9" s="31">
        <v>2798.0558492527139</v>
      </c>
      <c r="G9" s="29" t="s">
        <v>8</v>
      </c>
      <c r="H9" s="32">
        <v>2881.0987153697461</v>
      </c>
    </row>
    <row r="10" spans="1:8" ht="24" customHeight="1" x14ac:dyDescent="0.25">
      <c r="A10" s="3" t="s">
        <v>9</v>
      </c>
      <c r="B10" s="15">
        <v>-3330.3950681939859</v>
      </c>
      <c r="C10" s="5" t="s">
        <v>9</v>
      </c>
      <c r="D10" s="16">
        <v>-2757.8371575969259</v>
      </c>
      <c r="E10" s="27" t="s">
        <v>9</v>
      </c>
      <c r="F10" s="31">
        <v>-2812.708157095853</v>
      </c>
      <c r="G10" s="29" t="s">
        <v>9</v>
      </c>
      <c r="H10" s="32">
        <v>-2890.8916133801631</v>
      </c>
    </row>
    <row r="11" spans="1:8" ht="24" customHeight="1" x14ac:dyDescent="0.25">
      <c r="A11" s="3" t="s">
        <v>10</v>
      </c>
      <c r="B11" s="15">
        <v>100.35</v>
      </c>
      <c r="C11" s="5" t="s">
        <v>10</v>
      </c>
      <c r="D11" s="16">
        <v>100.35</v>
      </c>
      <c r="E11" s="27" t="s">
        <v>10</v>
      </c>
      <c r="F11" s="31">
        <v>99.450000000000017</v>
      </c>
      <c r="G11" s="29" t="s">
        <v>10</v>
      </c>
      <c r="H11" s="32">
        <v>99.450000000000017</v>
      </c>
    </row>
    <row r="12" spans="1:8" ht="24" customHeight="1" x14ac:dyDescent="0.25">
      <c r="A12" s="3" t="s">
        <v>11</v>
      </c>
      <c r="B12" s="15">
        <v>-99.65</v>
      </c>
      <c r="C12" s="5" t="s">
        <v>11</v>
      </c>
      <c r="D12" s="16">
        <v>-99.65</v>
      </c>
      <c r="E12" s="27" t="s">
        <v>11</v>
      </c>
      <c r="F12" s="31">
        <v>-100.55</v>
      </c>
      <c r="G12" s="29" t="s">
        <v>11</v>
      </c>
      <c r="H12" s="32">
        <v>-100.55</v>
      </c>
    </row>
    <row r="13" spans="1:8" ht="24" customHeight="1" x14ac:dyDescent="0.25">
      <c r="A13" s="3" t="s">
        <v>12</v>
      </c>
      <c r="B13" s="17">
        <f>B10/B5*100</f>
        <v>-3964.7560335642688</v>
      </c>
      <c r="C13" s="5" t="s">
        <v>12</v>
      </c>
      <c r="D13" s="18">
        <f>D10/D5*100</f>
        <v>-3283.1394733296734</v>
      </c>
      <c r="E13" s="27" t="s">
        <v>12</v>
      </c>
      <c r="F13" s="33">
        <f>F10/F5*100</f>
        <v>-3348.4620917807774</v>
      </c>
      <c r="G13" s="29" t="s">
        <v>12</v>
      </c>
      <c r="H13" s="34">
        <f>H10/H5*100</f>
        <v>-3441.5376349763847</v>
      </c>
    </row>
    <row r="14" spans="1:8" ht="24" customHeight="1" x14ac:dyDescent="0.25">
      <c r="A14" s="3" t="s">
        <v>13</v>
      </c>
      <c r="B14" s="15">
        <v>100.35</v>
      </c>
      <c r="C14" s="5" t="s">
        <v>13</v>
      </c>
      <c r="D14" s="16">
        <v>100.35</v>
      </c>
      <c r="E14" s="27" t="s">
        <v>13</v>
      </c>
      <c r="F14" s="31">
        <v>100.55</v>
      </c>
      <c r="G14" s="29" t="s">
        <v>13</v>
      </c>
      <c r="H14" s="32">
        <v>100.55</v>
      </c>
    </row>
    <row r="15" spans="1:8" ht="24" customHeight="1" x14ac:dyDescent="0.25">
      <c r="A15" s="3" t="s">
        <v>14</v>
      </c>
      <c r="B15" s="15">
        <v>84.310633943528345</v>
      </c>
      <c r="C15" s="5" t="s">
        <v>14</v>
      </c>
      <c r="D15" s="16">
        <v>58.7189715218475</v>
      </c>
      <c r="E15" s="27" t="s">
        <v>14</v>
      </c>
      <c r="F15" s="31">
        <v>61.969474884502397</v>
      </c>
      <c r="G15" s="29" t="s">
        <v>14</v>
      </c>
      <c r="H15" s="32">
        <v>70.320258844779232</v>
      </c>
    </row>
    <row r="16" spans="1:8" ht="24" customHeight="1" x14ac:dyDescent="0.25">
      <c r="A16" s="3" t="s">
        <v>15</v>
      </c>
      <c r="B16" s="15">
        <v>32.403924428802817</v>
      </c>
      <c r="C16" s="5" t="s">
        <v>15</v>
      </c>
      <c r="D16" s="16">
        <v>26.774822732706369</v>
      </c>
      <c r="E16" s="27" t="s">
        <v>15</v>
      </c>
      <c r="F16" s="31">
        <v>27.446305236949481</v>
      </c>
      <c r="G16" s="29" t="s">
        <v>15</v>
      </c>
      <c r="H16" s="32">
        <v>28.36784100879904</v>
      </c>
    </row>
    <row r="17" spans="1:8" ht="24" customHeight="1" x14ac:dyDescent="0.25">
      <c r="A17" s="3" t="s">
        <v>16</v>
      </c>
      <c r="B17" s="17">
        <f>B14/B13*100</f>
        <v>-2.5310510697372348</v>
      </c>
      <c r="C17" s="5" t="s">
        <v>16</v>
      </c>
      <c r="D17" s="18">
        <f>D14/D13*100</f>
        <v>-3.0565256461135863</v>
      </c>
      <c r="E17" s="27" t="s">
        <v>16</v>
      </c>
      <c r="F17" s="33">
        <f>F14/F13*100</f>
        <v>-3.0028710866045838</v>
      </c>
      <c r="G17" s="29" t="s">
        <v>16</v>
      </c>
      <c r="H17" s="34">
        <f>H14/H13*100</f>
        <v>-2.9216591728682335</v>
      </c>
    </row>
    <row r="19" spans="1:8" ht="18.75" x14ac:dyDescent="0.25">
      <c r="D19" s="36">
        <f>100*(D9-F9)/D9</f>
        <v>-1.7671855278274438</v>
      </c>
      <c r="E19" s="36"/>
      <c r="F19" s="37">
        <f>100*(D9-H9)/D9</f>
        <v>-4.7875107887230035</v>
      </c>
      <c r="G19" s="35"/>
      <c r="H19" s="35"/>
    </row>
    <row r="20" spans="1:8" ht="18.75" x14ac:dyDescent="0.25">
      <c r="D20" s="36">
        <f>100*(D10-F10)/D10</f>
        <v>-1.9896388496969732</v>
      </c>
      <c r="E20" s="36"/>
      <c r="F20" s="37">
        <f>100*(D10-H10)/D10</f>
        <v>-4.8245943534670417</v>
      </c>
      <c r="G20" s="35"/>
      <c r="H20" s="35"/>
    </row>
  </sheetData>
  <mergeCells count="4">
    <mergeCell ref="G1:H1"/>
    <mergeCell ref="A1:B1"/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Adil</cp:lastModifiedBy>
  <dcterms:created xsi:type="dcterms:W3CDTF">2026-06-28T15:10:53Z</dcterms:created>
  <dcterms:modified xsi:type="dcterms:W3CDTF">2026-06-28T18:36:54Z</dcterms:modified>
</cp:coreProperties>
</file>