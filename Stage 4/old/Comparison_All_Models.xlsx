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ea23554fbe8de0/Desktop/Stage 4/"/>
    </mc:Choice>
  </mc:AlternateContent>
  <xr:revisionPtr revIDLastSave="4" documentId="11_4B6FE1D69A4F0DAFD9D1FB10C431E68DD7CE1B04" xr6:coauthVersionLast="47" xr6:coauthVersionMax="47" xr10:uidLastSave="{BB5F8C58-C463-4D5E-9D1F-E84F8D122574}"/>
  <bookViews>
    <workbookView xWindow="-120" yWindow="-120" windowWidth="29040" windowHeight="15720" tabRatio="500" activeTab="1" xr2:uid="{00000000-000D-0000-FFFF-FFFF00000000}"/>
  </bookViews>
  <sheets>
    <sheet name="Summary" sheetId="1" r:id="rId1"/>
    <sheet name="Hysteresis" sheetId="2" r:id="rId2"/>
    <sheet name="Envelopes" sheetId="3" r:id="rId3"/>
    <sheet name="Stiffness" sheetId="4" r:id="rId4"/>
    <sheet name="CapacityCurv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B16" i="1"/>
  <c r="A16" i="1"/>
  <c r="C15" i="1"/>
  <c r="B15" i="1"/>
  <c r="A15" i="1"/>
  <c r="C14" i="1"/>
  <c r="B14" i="1"/>
  <c r="A14" i="1"/>
  <c r="C13" i="1"/>
  <c r="B13" i="1"/>
  <c r="A13" i="1"/>
  <c r="F8" i="1"/>
  <c r="F7" i="1"/>
  <c r="F6" i="1"/>
  <c r="F5" i="1"/>
</calcChain>
</file>

<file path=xl/sharedStrings.xml><?xml version="1.0" encoding="utf-8"?>
<sst xmlns="http://schemas.openxmlformats.org/spreadsheetml/2006/main" count="56" uniqueCount="55">
  <si>
    <t>4-Model Cyclic Pushover Comparison</t>
  </si>
  <si>
    <t>M1 = Original (M30) · M2 = Degraded (M20+15%Ascorr) · M3 = CFRP GF-only · M4 = CFRP Full building</t>
  </si>
  <si>
    <t>Model</t>
  </si>
  <si>
    <t>Peak +V (kN)</t>
  </si>
  <si>
    <t>Peak -V (kN)</t>
  </si>
  <si>
    <t>Disp @ peak +V (mm)</t>
  </si>
  <si>
    <t>Disp @ peak -V (mm)</t>
  </si>
  <si>
    <t>Top-storey drift @ +V peak (%)</t>
  </si>
  <si>
    <t>Initial secant K (kN/mm)</t>
  </si>
  <si>
    <t>Ultimate disp (mm)</t>
  </si>
  <si>
    <t>Notes</t>
  </si>
  <si>
    <t>Roof height (mm):</t>
  </si>
  <si>
    <t>M1_Original_RCC</t>
  </si>
  <si>
    <t>M30 conc, full As, Mander confined core</t>
  </si>
  <si>
    <t>M2_Degraded_RCC</t>
  </si>
  <si>
    <t>M20 conc, As × 0.85, Mander confined core</t>
  </si>
  <si>
    <t>M3_CFRP_GF</t>
  </si>
  <si>
    <t>M20 base + CFRP wrap GF cols + GF beam laminate</t>
  </si>
  <si>
    <t>M4_CFRP_Full</t>
  </si>
  <si>
    <t>M20 base + CFRP wrap ALL cols + ALL beams laminated</t>
  </si>
  <si>
    <t>Relative comparison (vs M1)</t>
  </si>
  <si>
    <t>Peak +V / M1 +V</t>
  </si>
  <si>
    <t>Initial K / M1 K</t>
  </si>
  <si>
    <t>M1_Original_RCC: Disp (mm)</t>
  </si>
  <si>
    <t>M1_Original_RCC: Shear (kN)</t>
  </si>
  <si>
    <t>M2_Degraded_RCC: Disp (mm)</t>
  </si>
  <si>
    <t>M2_Degraded_RCC: Shear (kN)</t>
  </si>
  <si>
    <t>M3_CFRP_GF: Disp (mm)</t>
  </si>
  <si>
    <t>M3_CFRP_GF: Shear (kN)</t>
  </si>
  <si>
    <t>M4_CFRP_Full: Disp (mm)</t>
  </si>
  <si>
    <t>M4_CFRP_Full: Shear (kN)</t>
  </si>
  <si>
    <t>M1_Original_RCC: Env-Disp (mm)</t>
  </si>
  <si>
    <t>M1_Original_RCC: Env-Shear (kN)</t>
  </si>
  <si>
    <t>M2_Degraded_RCC: Env-Disp (mm)</t>
  </si>
  <si>
    <t>M2_Degraded_RCC: Env-Shear (kN)</t>
  </si>
  <si>
    <t>M3_CFRP_GF: Env-Disp (mm)</t>
  </si>
  <si>
    <t>M3_CFRP_GF: Env-Shear (kN)</t>
  </si>
  <si>
    <t>M4_CFRP_Full: Env-Disp (mm)</t>
  </si>
  <si>
    <t>M4_CFRP_Full: Env-Shear (kN)</t>
  </si>
  <si>
    <t>M1_Original_RCC: |Disp| (mm)</t>
  </si>
  <si>
    <t>M1_Original_RCC: Secant K (kN/mm)</t>
  </si>
  <si>
    <t>M2_Degraded_RCC: |Disp| (mm)</t>
  </si>
  <si>
    <t>M2_Degraded_RCC: Secant K (kN/mm)</t>
  </si>
  <si>
    <t>M3_CFRP_GF: |Disp| (mm)</t>
  </si>
  <si>
    <t>M3_CFRP_GF: Secant K (kN/mm)</t>
  </si>
  <si>
    <t>M4_CFRP_Full: |Disp| (mm)</t>
  </si>
  <si>
    <t>M4_CFRP_Full: Secant K (kN/mm)</t>
  </si>
  <si>
    <t>M1_Original_RCC: Top Disp (mm)</t>
  </si>
  <si>
    <t>M1_Original_RCC: Load (kN)</t>
  </si>
  <si>
    <t>M2_Degraded_RCC: Top Disp (mm)</t>
  </si>
  <si>
    <t>M2_Degraded_RCC: Load (kN)</t>
  </si>
  <si>
    <t>M3_CFRP_GF: Top Disp (mm)</t>
  </si>
  <si>
    <t>M3_CFRP_GF: Load (kN)</t>
  </si>
  <si>
    <t>M4_CFRP_Full: Top Disp (mm)</t>
  </si>
  <si>
    <t>M4_CFRP_Full: Load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</si>
</sst>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2"/>
      <name val="Arial"/>
      <charset val="1"/>
    </font>
    <font>
      <sz val="11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Envelopes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Envelopes!$A$2:$A$7</c:f>
              <c:numCache>
                <c:formatCode>0.000</c:formatCode>
                <c:ptCount val="6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xVal>
          <c:yVal>
            <c:numRef>
              <c:f>Envelopes!$B$2:$B$7</c:f>
              <c:numCache>
                <c:formatCode>0.000</c:formatCode>
                <c:ptCount val="6"/>
                <c:pt idx="0">
                  <c:v>-339.20850319206897</c:v>
                </c:pt>
                <c:pt idx="1">
                  <c:v>-339.22291565629098</c:v>
                </c:pt>
                <c:pt idx="2">
                  <c:v>-339.22291722950598</c:v>
                </c:pt>
                <c:pt idx="3">
                  <c:v>336.78412972437502</c:v>
                </c:pt>
                <c:pt idx="4">
                  <c:v>339.21364964679702</c:v>
                </c:pt>
                <c:pt idx="5">
                  <c:v>339.21380802135599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5-42BA-A463-366112BE35F7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Envelopes!$C$2:$C$7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Envelopes!$D$2:$D$7</c:f>
              <c:numCache>
                <c:formatCode>0.000</c:formatCode>
                <c:ptCount val="6"/>
                <c:pt idx="0">
                  <c:v>-1099.41943540948</c:v>
                </c:pt>
                <c:pt idx="1">
                  <c:v>-471.79600431509698</c:v>
                </c:pt>
                <c:pt idx="2">
                  <c:v>-118.408930830722</c:v>
                </c:pt>
                <c:pt idx="3">
                  <c:v>117.437942878884</c:v>
                </c:pt>
                <c:pt idx="4">
                  <c:v>467.85105389715397</c:v>
                </c:pt>
                <c:pt idx="5">
                  <c:v>1093.93229669568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5-42BA-A463-366112BE35F7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Envelopes!$E$2:$E$7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Envelopes!$F$2:$F$7</c:f>
              <c:numCache>
                <c:formatCode>0.000</c:formatCode>
                <c:ptCount val="6"/>
                <c:pt idx="0">
                  <c:v>-1080.69930146043</c:v>
                </c:pt>
                <c:pt idx="1">
                  <c:v>-465.60494743803099</c:v>
                </c:pt>
                <c:pt idx="2">
                  <c:v>-116.913513595493</c:v>
                </c:pt>
                <c:pt idx="3">
                  <c:v>115.894062803845</c:v>
                </c:pt>
                <c:pt idx="4">
                  <c:v>461.53523462496702</c:v>
                </c:pt>
                <c:pt idx="5">
                  <c:v>1074.7244880513599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5-42BA-A463-366112BE35F7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Envelopes!$G$2:$G$3</c:f>
              <c:numCache>
                <c:formatCode>0.000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xVal>
          <c:yVal>
            <c:numRef>
              <c:f>Envelopes!$H$2:$H$3</c:f>
              <c:numCache>
                <c:formatCode>0.000</c:formatCode>
                <c:ptCount val="2"/>
                <c:pt idx="0">
                  <c:v>-230.41421651542001</c:v>
                </c:pt>
                <c:pt idx="1">
                  <c:v>228.08023596001499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95-42BA-A463-366112BE3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7917"/>
        <c:axId val="9827177"/>
      </c:scatterChart>
      <c:valAx>
        <c:axId val="271279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7177"/>
        <c:crosses val="autoZero"/>
        <c:crossBetween val="midCat"/>
      </c:valAx>
      <c:valAx>
        <c:axId val="9827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279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Stiffness Degradation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Stiffness!$B$2:$B$4</c:f>
              <c:numCache>
                <c:formatCode>General</c:formatCode>
                <c:ptCount val="3"/>
                <c:pt idx="0">
                  <c:v>84.196032431093698</c:v>
                </c:pt>
                <c:pt idx="1">
                  <c:v>84.803412411699298</c:v>
                </c:pt>
                <c:pt idx="2">
                  <c:v>84.803452005338897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CF6-8313-0FF9AD6B67D2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Stiffness!$D$2:$D$4</c:f>
              <c:numCache>
                <c:formatCode>General</c:formatCode>
                <c:ptCount val="3"/>
                <c:pt idx="0">
                  <c:v>58.718971439441802</c:v>
                </c:pt>
                <c:pt idx="1">
                  <c:v>58.481381737144197</c:v>
                </c:pt>
                <c:pt idx="2">
                  <c:v>54.696614834784199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CF6-8313-0FF9AD6B67D2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Stiffness!$F$2:$F$4</c:f>
              <c:numCache>
                <c:formatCode>General</c:formatCode>
                <c:ptCount val="3"/>
                <c:pt idx="0">
                  <c:v>57.947031401922203</c:v>
                </c:pt>
                <c:pt idx="1">
                  <c:v>57.691904328120899</c:v>
                </c:pt>
                <c:pt idx="2">
                  <c:v>53.736224402567899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CF6-8313-0FF9AD6B67D2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Stiffness!$H$2</c:f>
              <c:numCache>
                <c:formatCode>General</c:formatCode>
                <c:ptCount val="1"/>
                <c:pt idx="0">
                  <c:v>57.020058990003797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CF6-8313-0FF9AD6B6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6522"/>
        <c:axId val="10287299"/>
      </c:scatterChart>
      <c:valAx>
        <c:axId val="663065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87299"/>
        <c:crosses val="autoZero"/>
        <c:crossBetween val="midCat"/>
      </c:valAx>
      <c:valAx>
        <c:axId val="10287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065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Curve — Load vs Top-Storey Displacement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CapacityCurve!$B$2:$B$4</c:f>
              <c:numCache>
                <c:formatCode>General</c:formatCode>
                <c:ptCount val="3"/>
                <c:pt idx="0">
                  <c:v>336.78412972437502</c:v>
                </c:pt>
                <c:pt idx="1">
                  <c:v>339.21364964679702</c:v>
                </c:pt>
                <c:pt idx="2">
                  <c:v>339.21380802135599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7E-4000-B8C7-B5BB558195D3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CapacityCurve!$D$2:$D$4</c:f>
              <c:numCache>
                <c:formatCode>General</c:formatCode>
                <c:ptCount val="3"/>
                <c:pt idx="0">
                  <c:v>117.437942878884</c:v>
                </c:pt>
                <c:pt idx="1">
                  <c:v>467.85105389715397</c:v>
                </c:pt>
                <c:pt idx="2">
                  <c:v>1093.93229669568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7E-4000-B8C7-B5BB558195D3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CapacityCurve!$F$2:$F$4</c:f>
              <c:numCache>
                <c:formatCode>General</c:formatCode>
                <c:ptCount val="3"/>
                <c:pt idx="0">
                  <c:v>115.894062803845</c:v>
                </c:pt>
                <c:pt idx="1">
                  <c:v>461.53523462496702</c:v>
                </c:pt>
                <c:pt idx="2">
                  <c:v>1074.7244880513599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7E-4000-B8C7-B5BB558195D3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CapacityCurve!$H$2</c:f>
              <c:numCache>
                <c:formatCode>General</c:formatCode>
                <c:ptCount val="1"/>
                <c:pt idx="0">
                  <c:v>228.08023596001499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7E-4000-B8C7-B5BB55819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83346"/>
        <c:axId val="40894497"/>
      </c:scatterChart>
      <c:valAx>
        <c:axId val="520833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94497"/>
        <c:crosses val="autoZero"/>
        <c:crossBetween val="midCat"/>
      </c:valAx>
      <c:valAx>
        <c:axId val="40894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0833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581760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25</xdr:col>
      <xdr:colOff>78480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Normal="100" workbookViewId="0">
      <selection activeCell="I5" sqref="I5"/>
    </sheetView>
  </sheetViews>
  <sheetFormatPr defaultColWidth="8.7109375" defaultRowHeight="15" x14ac:dyDescent="0.25"/>
  <cols>
    <col min="1" max="1" width="18" customWidth="1"/>
    <col min="2" max="2" width="22.28515625" customWidth="1"/>
    <col min="3" max="3" width="18.85546875" customWidth="1"/>
    <col min="4" max="5" width="18" customWidth="1"/>
    <col min="6" max="6" width="22" customWidth="1"/>
    <col min="7" max="7" width="20" customWidth="1"/>
    <col min="8" max="8" width="16" customWidth="1"/>
    <col min="9" max="9" width="60" customWidth="1"/>
  </cols>
  <sheetData>
    <row r="1" spans="1:12" ht="1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t="s">
        <v>11</v>
      </c>
      <c r="L4" s="4">
        <v>17500</v>
      </c>
    </row>
    <row r="5" spans="1:12" x14ac:dyDescent="0.25">
      <c r="A5" s="5" t="s">
        <v>12</v>
      </c>
      <c r="B5" s="6">
        <v>339.21380802135599</v>
      </c>
      <c r="C5" s="6">
        <v>-339.22291722950598</v>
      </c>
      <c r="D5" s="6">
        <v>4</v>
      </c>
      <c r="E5" s="6">
        <v>-4</v>
      </c>
      <c r="F5" s="7">
        <f>D5/$L$4*100</f>
        <v>2.2857142857142857E-2</v>
      </c>
      <c r="G5" s="6">
        <v>84.196032431093698</v>
      </c>
      <c r="H5" s="6">
        <v>4</v>
      </c>
      <c r="I5" s="5" t="s">
        <v>13</v>
      </c>
    </row>
    <row r="6" spans="1:12" x14ac:dyDescent="0.25">
      <c r="A6" s="5" t="s">
        <v>14</v>
      </c>
      <c r="B6" s="6">
        <v>1093.93229669568</v>
      </c>
      <c r="C6" s="6">
        <v>-1099.41943540948</v>
      </c>
      <c r="D6" s="6">
        <v>20</v>
      </c>
      <c r="E6" s="6">
        <v>-20</v>
      </c>
      <c r="F6" s="7">
        <f>D6/$L$4*100</f>
        <v>0.1142857142857143</v>
      </c>
      <c r="G6" s="6">
        <v>58.718971439441802</v>
      </c>
      <c r="H6" s="6">
        <v>20</v>
      </c>
      <c r="I6" s="5" t="s">
        <v>15</v>
      </c>
    </row>
    <row r="7" spans="1:12" x14ac:dyDescent="0.25">
      <c r="A7" s="5" t="s">
        <v>16</v>
      </c>
      <c r="B7" s="6">
        <v>1074.7244880513599</v>
      </c>
      <c r="C7" s="6">
        <v>-1080.69930146043</v>
      </c>
      <c r="D7" s="6">
        <v>20</v>
      </c>
      <c r="E7" s="6">
        <v>-20</v>
      </c>
      <c r="F7" s="7">
        <f>D7/$L$4*100</f>
        <v>0.1142857142857143</v>
      </c>
      <c r="G7" s="6">
        <v>57.947031401922203</v>
      </c>
      <c r="H7" s="6">
        <v>20</v>
      </c>
      <c r="I7" s="5" t="s">
        <v>17</v>
      </c>
    </row>
    <row r="8" spans="1:12" x14ac:dyDescent="0.25">
      <c r="A8" s="5" t="s">
        <v>18</v>
      </c>
      <c r="B8" s="6">
        <v>228.08023596001499</v>
      </c>
      <c r="C8" s="6">
        <v>-230.41421651542001</v>
      </c>
      <c r="D8" s="6">
        <v>4</v>
      </c>
      <c r="E8" s="6">
        <v>-4</v>
      </c>
      <c r="F8" s="7">
        <f>D8/$L$4*100</f>
        <v>2.2857142857142857E-2</v>
      </c>
      <c r="G8" s="6">
        <v>57.020058990003797</v>
      </c>
      <c r="H8" s="6">
        <v>4</v>
      </c>
      <c r="I8" s="5" t="s">
        <v>19</v>
      </c>
    </row>
    <row r="11" spans="1:12" ht="15.75" x14ac:dyDescent="0.25">
      <c r="A11" s="8" t="s">
        <v>20</v>
      </c>
    </row>
    <row r="12" spans="1:12" x14ac:dyDescent="0.25">
      <c r="A12" s="3" t="s">
        <v>2</v>
      </c>
      <c r="B12" s="3" t="s">
        <v>21</v>
      </c>
      <c r="C12" s="3" t="s">
        <v>22</v>
      </c>
    </row>
    <row r="13" spans="1:12" x14ac:dyDescent="0.25">
      <c r="A13" s="9" t="str">
        <f>A5</f>
        <v>M1_Original_RCC</v>
      </c>
      <c r="B13" s="10">
        <f>B5/B5</f>
        <v>1</v>
      </c>
      <c r="C13" s="10">
        <f>G5/G5</f>
        <v>1</v>
      </c>
    </row>
    <row r="14" spans="1:12" x14ac:dyDescent="0.25">
      <c r="A14" s="9" t="str">
        <f>A6</f>
        <v>M2_Degraded_RCC</v>
      </c>
      <c r="B14" s="10">
        <f>B6/B5</f>
        <v>3.2249049738765616</v>
      </c>
      <c r="C14" s="10">
        <f>G6/G5</f>
        <v>0.69740782010717184</v>
      </c>
    </row>
    <row r="15" spans="1:12" x14ac:dyDescent="0.25">
      <c r="A15" s="9" t="str">
        <f>A7</f>
        <v>M3_CFRP_GF</v>
      </c>
      <c r="B15" s="10">
        <f>B7/B5</f>
        <v>3.1682804845718371</v>
      </c>
      <c r="C15" s="10">
        <f>G7/G5</f>
        <v>0.68823945414941301</v>
      </c>
    </row>
    <row r="16" spans="1:12" x14ac:dyDescent="0.25">
      <c r="A16" s="9" t="str">
        <f>A8</f>
        <v>M4_CFRP_Full</v>
      </c>
      <c r="B16" s="10">
        <f>B8/B5</f>
        <v>0.6723789850726114</v>
      </c>
      <c r="C16" s="10">
        <f>G8/G5</f>
        <v>0.67722976182600048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"/>
  <sheetViews>
    <sheetView tabSelected="1" zoomScaleNormal="100" workbookViewId="0">
      <selection activeCell="D31" sqref="D31"/>
    </sheetView>
  </sheetViews>
  <sheetFormatPr defaultColWidth="8.7109375" defaultRowHeight="15" x14ac:dyDescent="0.25"/>
  <cols>
    <col min="1" max="8" width="18" customWidth="1"/>
  </cols>
  <sheetData>
    <row r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 s="11">
        <v>0.5</v>
      </c>
      <c r="B2" s="11">
        <v>42.192493550244798</v>
      </c>
      <c r="C2" s="11">
        <v>0.25</v>
      </c>
      <c r="D2" s="11">
        <v>14.693924134638401</v>
      </c>
      <c r="E2" s="11">
        <v>0.25</v>
      </c>
      <c r="F2" s="11">
        <v>14.500799847806601</v>
      </c>
      <c r="G2" s="11">
        <v>0.25</v>
      </c>
      <c r="H2" s="11">
        <v>14.2872387614959</v>
      </c>
    </row>
    <row r="3" spans="1:8" x14ac:dyDescent="0.25">
      <c r="A3" s="11">
        <v>1</v>
      </c>
      <c r="B3" s="11">
        <v>84.361640838164206</v>
      </c>
      <c r="C3" s="11">
        <v>0.5</v>
      </c>
      <c r="D3" s="11">
        <v>29.383986276853001</v>
      </c>
      <c r="E3" s="11">
        <v>0.5</v>
      </c>
      <c r="F3" s="11">
        <v>28.997750090978499</v>
      </c>
      <c r="G3" s="11">
        <v>0.5</v>
      </c>
      <c r="H3" s="11">
        <v>28.570767655552199</v>
      </c>
    </row>
    <row r="4" spans="1:8" x14ac:dyDescent="0.25">
      <c r="A4" s="11">
        <v>1.5</v>
      </c>
      <c r="B4" s="11">
        <v>126.505311701509</v>
      </c>
      <c r="C4" s="11">
        <v>0.75</v>
      </c>
      <c r="D4" s="11">
        <v>44.070127610576797</v>
      </c>
      <c r="E4" s="11">
        <v>0.75</v>
      </c>
      <c r="F4" s="11">
        <v>43.490805268195402</v>
      </c>
      <c r="G4" s="11">
        <v>0.75</v>
      </c>
      <c r="H4" s="11">
        <v>42.850637221719303</v>
      </c>
    </row>
    <row r="5" spans="1:8" x14ac:dyDescent="0.25">
      <c r="A5" s="11">
        <v>2</v>
      </c>
      <c r="B5" s="11">
        <v>168.62127273173601</v>
      </c>
      <c r="C5" s="11">
        <v>1</v>
      </c>
      <c r="D5" s="11">
        <v>58.752254767985903</v>
      </c>
      <c r="E5" s="11">
        <v>1</v>
      </c>
      <c r="F5" s="11">
        <v>57.979877720638001</v>
      </c>
      <c r="G5" s="11">
        <v>1</v>
      </c>
      <c r="H5" s="11">
        <v>57.126611865247398</v>
      </c>
    </row>
    <row r="6" spans="1:8" x14ac:dyDescent="0.25">
      <c r="A6" s="11">
        <v>2.5</v>
      </c>
      <c r="B6" s="11">
        <v>210.70793481107</v>
      </c>
      <c r="C6" s="11">
        <v>1.25</v>
      </c>
      <c r="D6" s="11">
        <v>73.430251018353601</v>
      </c>
      <c r="E6" s="11">
        <v>1.25</v>
      </c>
      <c r="F6" s="11">
        <v>72.464874751592205</v>
      </c>
      <c r="G6" s="11">
        <v>1.25</v>
      </c>
      <c r="H6" s="11">
        <v>71.398494389506396</v>
      </c>
    </row>
    <row r="7" spans="1:8" x14ac:dyDescent="0.25">
      <c r="A7" s="11">
        <v>3</v>
      </c>
      <c r="B7" s="11">
        <v>252.764725688032</v>
      </c>
      <c r="C7" s="11">
        <v>1.5</v>
      </c>
      <c r="D7" s="11">
        <v>88.103968705467693</v>
      </c>
      <c r="E7" s="11">
        <v>1.5</v>
      </c>
      <c r="F7" s="11">
        <v>86.945648204608602</v>
      </c>
      <c r="G7" s="11">
        <v>1.5</v>
      </c>
      <c r="H7" s="11">
        <v>85.666237146246004</v>
      </c>
    </row>
    <row r="8" spans="1:8" x14ac:dyDescent="0.25">
      <c r="A8" s="11">
        <v>3.5</v>
      </c>
      <c r="B8" s="11">
        <v>294.79001134265502</v>
      </c>
      <c r="C8" s="11">
        <v>1.75</v>
      </c>
      <c r="D8" s="11">
        <v>102.773266624073</v>
      </c>
      <c r="E8" s="11">
        <v>1.75</v>
      </c>
      <c r="F8" s="11">
        <v>101.42211505860401</v>
      </c>
      <c r="G8" s="11">
        <v>1.75</v>
      </c>
      <c r="H8" s="11">
        <v>99.929736380665403</v>
      </c>
    </row>
    <row r="9" spans="1:8" x14ac:dyDescent="0.25">
      <c r="A9" s="11">
        <v>4</v>
      </c>
      <c r="B9" s="11">
        <v>336.78412972437502</v>
      </c>
      <c r="C9" s="11">
        <v>2</v>
      </c>
      <c r="D9" s="11">
        <v>117.437942878884</v>
      </c>
      <c r="E9" s="11">
        <v>2</v>
      </c>
      <c r="F9" s="11">
        <v>115.894062803845</v>
      </c>
      <c r="G9" s="11">
        <v>2</v>
      </c>
      <c r="H9" s="11">
        <v>114.188852401286</v>
      </c>
    </row>
    <row r="10" spans="1:8" x14ac:dyDescent="0.25">
      <c r="A10" s="11">
        <v>3.5</v>
      </c>
      <c r="B10" s="11">
        <v>294.36576112022101</v>
      </c>
      <c r="C10" s="11">
        <v>1.75</v>
      </c>
      <c r="D10" s="11">
        <v>102.635470615377</v>
      </c>
      <c r="E10" s="11">
        <v>1.75</v>
      </c>
      <c r="F10" s="11">
        <v>101.278535747257</v>
      </c>
      <c r="G10" s="11">
        <v>2.25</v>
      </c>
      <c r="H10" s="11">
        <v>128.44325405667101</v>
      </c>
    </row>
    <row r="11" spans="1:8" x14ac:dyDescent="0.25">
      <c r="A11" s="11">
        <v>3</v>
      </c>
      <c r="B11" s="11">
        <v>251.94771817646301</v>
      </c>
      <c r="C11" s="11">
        <v>1.5</v>
      </c>
      <c r="D11" s="11">
        <v>87.833026328451894</v>
      </c>
      <c r="E11" s="11">
        <v>1.5</v>
      </c>
      <c r="F11" s="11">
        <v>86.663029753404999</v>
      </c>
      <c r="G11" s="11">
        <v>2.5</v>
      </c>
      <c r="H11" s="11">
        <v>142.693046071353</v>
      </c>
    </row>
    <row r="12" spans="1:8" x14ac:dyDescent="0.25">
      <c r="A12" s="11">
        <v>2.5</v>
      </c>
      <c r="B12" s="11">
        <v>209.52995301337501</v>
      </c>
      <c r="C12" s="11">
        <v>1.25</v>
      </c>
      <c r="D12" s="11">
        <v>73.030605411345107</v>
      </c>
      <c r="E12" s="11">
        <v>1.25</v>
      </c>
      <c r="F12" s="11">
        <v>72.047548351478397</v>
      </c>
      <c r="G12" s="11">
        <v>2.75</v>
      </c>
      <c r="H12" s="11">
        <v>156.93769158512501</v>
      </c>
    </row>
    <row r="13" spans="1:8" x14ac:dyDescent="0.25">
      <c r="A13" s="11">
        <v>2</v>
      </c>
      <c r="B13" s="11">
        <v>167.112634255378</v>
      </c>
      <c r="C13" s="11">
        <v>1</v>
      </c>
      <c r="D13" s="11">
        <v>58.228210494764298</v>
      </c>
      <c r="E13" s="11">
        <v>1</v>
      </c>
      <c r="F13" s="11">
        <v>57.4320826979353</v>
      </c>
      <c r="G13" s="11">
        <v>3</v>
      </c>
      <c r="H13" s="11">
        <v>171.17746917060501</v>
      </c>
    </row>
    <row r="14" spans="1:8" x14ac:dyDescent="0.25">
      <c r="A14" s="11">
        <v>1.5</v>
      </c>
      <c r="B14" s="11">
        <v>124.69619904951099</v>
      </c>
      <c r="C14" s="11">
        <v>0.75</v>
      </c>
      <c r="D14" s="11">
        <v>43.425828891574596</v>
      </c>
      <c r="E14" s="11">
        <v>0.75</v>
      </c>
      <c r="F14" s="11">
        <v>42.816638760794802</v>
      </c>
      <c r="G14" s="11">
        <v>3.25</v>
      </c>
      <c r="H14" s="11">
        <v>185.41201122780299</v>
      </c>
    </row>
    <row r="15" spans="1:8" x14ac:dyDescent="0.25">
      <c r="A15" s="11">
        <v>1</v>
      </c>
      <c r="B15" s="11">
        <v>82.281634757566493</v>
      </c>
      <c r="C15" s="11">
        <v>0.5</v>
      </c>
      <c r="D15" s="11">
        <v>28.623486737305701</v>
      </c>
      <c r="E15" s="11">
        <v>0.5</v>
      </c>
      <c r="F15" s="11">
        <v>28.201216375753599</v>
      </c>
      <c r="G15" s="11">
        <v>3.5</v>
      </c>
      <c r="H15" s="11">
        <v>199.64090785320599</v>
      </c>
    </row>
    <row r="16" spans="1:8" x14ac:dyDescent="0.25">
      <c r="A16" s="11">
        <v>0.5</v>
      </c>
      <c r="B16" s="11">
        <v>39.868015160791501</v>
      </c>
      <c r="C16" s="11">
        <v>0.25</v>
      </c>
      <c r="D16" s="11">
        <v>13.8211322660137</v>
      </c>
      <c r="E16" s="11">
        <v>0.25</v>
      </c>
      <c r="F16" s="11">
        <v>13.585799056565101</v>
      </c>
      <c r="G16" s="11">
        <v>3.75</v>
      </c>
      <c r="H16" s="11">
        <v>213.86385348156199</v>
      </c>
    </row>
    <row r="17" spans="1:8" x14ac:dyDescent="0.25">
      <c r="A17" s="11">
        <v>0</v>
      </c>
      <c r="B17" s="11">
        <v>-2.53816297294152</v>
      </c>
      <c r="C17" s="11">
        <v>0</v>
      </c>
      <c r="D17" s="11">
        <v>-0.97606835697030303</v>
      </c>
      <c r="E17" s="11">
        <v>0</v>
      </c>
      <c r="F17" s="11">
        <v>-1.02399868773869</v>
      </c>
      <c r="G17" s="11">
        <v>4</v>
      </c>
      <c r="H17" s="11">
        <v>228.08023596001499</v>
      </c>
    </row>
    <row r="18" spans="1:8" x14ac:dyDescent="0.25">
      <c r="A18" s="11">
        <v>-0.5</v>
      </c>
      <c r="B18" s="11">
        <v>-44.724939950269302</v>
      </c>
      <c r="C18" s="11">
        <v>-0.25</v>
      </c>
      <c r="D18" s="11">
        <v>-15.6700771705351</v>
      </c>
      <c r="E18" s="11">
        <v>-0.25</v>
      </c>
      <c r="F18" s="11">
        <v>-15.524879238251801</v>
      </c>
      <c r="G18" s="11">
        <v>3.75</v>
      </c>
      <c r="H18" s="11">
        <v>213.67894017710501</v>
      </c>
    </row>
    <row r="19" spans="1:8" x14ac:dyDescent="0.25">
      <c r="A19" s="11">
        <v>-1</v>
      </c>
      <c r="B19" s="11">
        <v>-86.876000549359304</v>
      </c>
      <c r="C19" s="11">
        <v>-0.5</v>
      </c>
      <c r="D19" s="11">
        <v>-30.3600434779373</v>
      </c>
      <c r="E19" s="11">
        <v>-0.5</v>
      </c>
      <c r="F19" s="11">
        <v>-30.0216925878842</v>
      </c>
      <c r="G19" s="11">
        <v>3.5</v>
      </c>
      <c r="H19" s="11">
        <v>199.27619152323399</v>
      </c>
    </row>
    <row r="20" spans="1:8" x14ac:dyDescent="0.25">
      <c r="A20" s="11">
        <v>-1.5</v>
      </c>
      <c r="B20" s="11">
        <v>-129.003464851594</v>
      </c>
      <c r="C20" s="11">
        <v>-0.75</v>
      </c>
      <c r="D20" s="11">
        <v>-45.045932812813803</v>
      </c>
      <c r="E20" s="11">
        <v>-0.75</v>
      </c>
      <c r="F20" s="11">
        <v>-44.514526465434599</v>
      </c>
      <c r="G20" s="11">
        <v>3.25</v>
      </c>
      <c r="H20" s="11">
        <v>184.872555531866</v>
      </c>
    </row>
    <row r="21" spans="1:8" x14ac:dyDescent="0.25">
      <c r="A21" s="11">
        <v>-2</v>
      </c>
      <c r="B21" s="11">
        <v>-171.10614203595699</v>
      </c>
      <c r="C21" s="11">
        <v>-1</v>
      </c>
      <c r="D21" s="11">
        <v>-59.7276064423287</v>
      </c>
      <c r="E21" s="11">
        <v>-1</v>
      </c>
      <c r="F21" s="11">
        <v>-59.003183087441101</v>
      </c>
      <c r="G21" s="11">
        <v>3</v>
      </c>
      <c r="H21" s="11">
        <v>170.46800813042699</v>
      </c>
    </row>
    <row r="22" spans="1:8" x14ac:dyDescent="0.25">
      <c r="A22" s="11">
        <v>-2.5</v>
      </c>
      <c r="B22" s="11">
        <v>-213.17728637073</v>
      </c>
      <c r="C22" s="11">
        <v>-1.25</v>
      </c>
      <c r="D22" s="11">
        <v>-74.4049938963893</v>
      </c>
      <c r="E22" s="11">
        <v>-1.25</v>
      </c>
      <c r="F22" s="11">
        <v>-73.487566941377906</v>
      </c>
      <c r="G22" s="11">
        <v>2.75</v>
      </c>
      <c r="H22" s="11">
        <v>156.06293297887399</v>
      </c>
    </row>
    <row r="23" spans="1:8" x14ac:dyDescent="0.25">
      <c r="A23" s="11">
        <v>-3</v>
      </c>
      <c r="B23" s="11">
        <v>-255.221688989607</v>
      </c>
      <c r="C23" s="11">
        <v>-1.5</v>
      </c>
      <c r="D23" s="11">
        <v>-89.077281790272707</v>
      </c>
      <c r="E23" s="11">
        <v>-1.5</v>
      </c>
      <c r="F23" s="11">
        <v>-87.967412501928806</v>
      </c>
      <c r="G23" s="11">
        <v>2.5</v>
      </c>
      <c r="H23" s="11">
        <v>141.65753193820601</v>
      </c>
    </row>
    <row r="24" spans="1:8" x14ac:dyDescent="0.25">
      <c r="A24" s="11">
        <v>-3.5</v>
      </c>
      <c r="B24" s="11">
        <v>-297.23248402151597</v>
      </c>
      <c r="C24" s="11">
        <v>-1.75</v>
      </c>
      <c r="D24" s="11">
        <v>-103.745733381072</v>
      </c>
      <c r="E24" s="11">
        <v>-1.75</v>
      </c>
      <c r="F24" s="11">
        <v>-102.442601608993</v>
      </c>
      <c r="G24" s="11">
        <v>2.25</v>
      </c>
      <c r="H24" s="11">
        <v>127.251747304509</v>
      </c>
    </row>
    <row r="25" spans="1:8" x14ac:dyDescent="0.25">
      <c r="A25" s="11">
        <v>-4</v>
      </c>
      <c r="B25" s="11">
        <v>-339.20850319206897</v>
      </c>
      <c r="C25" s="11">
        <v>-2</v>
      </c>
      <c r="D25" s="11">
        <v>-118.408930830722</v>
      </c>
      <c r="E25" s="11">
        <v>-2</v>
      </c>
      <c r="F25" s="11">
        <v>-116.913513595493</v>
      </c>
      <c r="G25" s="11">
        <v>2</v>
      </c>
      <c r="H25" s="11">
        <v>112.84585860985599</v>
      </c>
    </row>
    <row r="26" spans="1:8" x14ac:dyDescent="0.25">
      <c r="A26" s="11">
        <v>-3.5</v>
      </c>
      <c r="B26" s="11">
        <v>-296.79078100527897</v>
      </c>
      <c r="C26" s="11">
        <v>-1.75</v>
      </c>
      <c r="D26" s="11">
        <v>-103.606509276098</v>
      </c>
      <c r="E26" s="11">
        <v>-1.75</v>
      </c>
      <c r="F26" s="11">
        <v>-102.298028736446</v>
      </c>
      <c r="G26" s="11">
        <v>1.75</v>
      </c>
      <c r="H26" s="11">
        <v>98.439819720500196</v>
      </c>
    </row>
    <row r="27" spans="1:8" x14ac:dyDescent="0.25">
      <c r="A27" s="11">
        <v>-3</v>
      </c>
      <c r="B27" s="11">
        <v>-254.37411221134099</v>
      </c>
      <c r="C27" s="11">
        <v>-1.5</v>
      </c>
      <c r="D27" s="11">
        <v>-88.804208659276597</v>
      </c>
      <c r="E27" s="11">
        <v>-1.5</v>
      </c>
      <c r="F27" s="11">
        <v>-87.682642912464502</v>
      </c>
      <c r="G27" s="11">
        <v>1.5</v>
      </c>
      <c r="H27" s="11">
        <v>84.033737146489301</v>
      </c>
    </row>
    <row r="28" spans="1:8" x14ac:dyDescent="0.25">
      <c r="A28" s="11">
        <v>-2.5</v>
      </c>
      <c r="B28" s="11">
        <v>-211.95852216862099</v>
      </c>
      <c r="C28" s="11">
        <v>-1.25</v>
      </c>
      <c r="D28" s="11">
        <v>-74.002039388292204</v>
      </c>
      <c r="E28" s="11">
        <v>-1.25</v>
      </c>
      <c r="F28" s="11">
        <v>-73.067385673282999</v>
      </c>
      <c r="G28" s="11">
        <v>1.25</v>
      </c>
      <c r="H28" s="11">
        <v>69.627681652444096</v>
      </c>
    </row>
    <row r="29" spans="1:8" x14ac:dyDescent="0.25">
      <c r="A29" s="11">
        <v>-2</v>
      </c>
      <c r="B29" s="11">
        <v>-169.544298118581</v>
      </c>
      <c r="C29" s="11">
        <v>-1</v>
      </c>
      <c r="D29" s="11">
        <v>-59.199988794984101</v>
      </c>
      <c r="E29" s="11">
        <v>-1</v>
      </c>
      <c r="F29" s="11">
        <v>-58.452228550943701</v>
      </c>
      <c r="G29" s="11">
        <v>1</v>
      </c>
      <c r="H29" s="11">
        <v>55.221412474294297</v>
      </c>
    </row>
    <row r="30" spans="1:8" x14ac:dyDescent="0.25">
      <c r="A30" s="11">
        <v>-1.5</v>
      </c>
      <c r="B30" s="11">
        <v>-127.131981278911</v>
      </c>
      <c r="C30" s="11">
        <v>-0.75</v>
      </c>
      <c r="D30" s="11">
        <v>-44.398048833222802</v>
      </c>
      <c r="E30" s="11">
        <v>-0.75</v>
      </c>
      <c r="F30" s="11">
        <v>-43.837156765063497</v>
      </c>
      <c r="G30" s="11">
        <v>0.75</v>
      </c>
      <c r="H30" s="11">
        <v>40.815132482157601</v>
      </c>
    </row>
    <row r="31" spans="1:8" x14ac:dyDescent="0.25">
      <c r="A31" s="11">
        <v>-1</v>
      </c>
      <c r="B31" s="11">
        <v>-84.723411108533298</v>
      </c>
      <c r="C31" s="11">
        <v>-0.5</v>
      </c>
      <c r="D31" s="11">
        <v>-29.596174667482501</v>
      </c>
      <c r="E31" s="11">
        <v>-0.5</v>
      </c>
      <c r="F31" s="11">
        <v>-29.222140685020701</v>
      </c>
      <c r="G31" s="11">
        <v>0.5</v>
      </c>
      <c r="H31" s="11">
        <v>26.408838418228498</v>
      </c>
    </row>
    <row r="32" spans="1:8" x14ac:dyDescent="0.25">
      <c r="A32" s="11">
        <v>-0.5</v>
      </c>
      <c r="B32" s="11">
        <v>-42.318866242619698</v>
      </c>
      <c r="C32" s="11">
        <v>-0.25</v>
      </c>
      <c r="D32" s="11">
        <v>-14.7943253112941</v>
      </c>
      <c r="E32" s="11">
        <v>-0.25</v>
      </c>
      <c r="F32" s="11">
        <v>-14.6071465666572</v>
      </c>
      <c r="G32" s="11">
        <v>0.25</v>
      </c>
      <c r="H32" s="11">
        <v>12.0024601538318</v>
      </c>
    </row>
    <row r="33" spans="1:8" x14ac:dyDescent="0.25">
      <c r="A33" s="11">
        <v>0</v>
      </c>
      <c r="B33" s="11">
        <v>8.7399910031718694E-2</v>
      </c>
      <c r="C33" s="11">
        <v>0</v>
      </c>
      <c r="D33" s="11">
        <v>7.5339691564477798E-3</v>
      </c>
      <c r="E33" s="11">
        <v>0</v>
      </c>
      <c r="F33" s="11">
        <v>7.85779411393683E-3</v>
      </c>
      <c r="G33" s="11">
        <v>0</v>
      </c>
      <c r="H33" s="11">
        <v>-2.39065498966642</v>
      </c>
    </row>
    <row r="34" spans="1:8" x14ac:dyDescent="0.25">
      <c r="A34" s="11">
        <v>0.5</v>
      </c>
      <c r="B34" s="11">
        <v>42.490993676141599</v>
      </c>
      <c r="C34" s="11">
        <v>0.25</v>
      </c>
      <c r="D34" s="11">
        <v>14.809322696651201</v>
      </c>
      <c r="E34" s="11">
        <v>0.25</v>
      </c>
      <c r="F34" s="11">
        <v>14.6227878029498</v>
      </c>
      <c r="G34" s="11">
        <v>-0.25</v>
      </c>
      <c r="H34" s="11">
        <v>-16.677682894548902</v>
      </c>
    </row>
    <row r="35" spans="1:8" x14ac:dyDescent="0.25">
      <c r="A35" s="11">
        <v>1</v>
      </c>
      <c r="B35" s="11">
        <v>84.885662375703504</v>
      </c>
      <c r="C35" s="11">
        <v>0.5</v>
      </c>
      <c r="D35" s="11">
        <v>29.611076486116801</v>
      </c>
      <c r="E35" s="11">
        <v>0.5</v>
      </c>
      <c r="F35" s="11">
        <v>29.2377113763092</v>
      </c>
      <c r="G35" s="11">
        <v>-0.5</v>
      </c>
      <c r="H35" s="11">
        <v>-30.960323417745599</v>
      </c>
    </row>
    <row r="36" spans="1:8" x14ac:dyDescent="0.25">
      <c r="A36" s="11">
        <v>1.5</v>
      </c>
      <c r="B36" s="11">
        <v>127.27791692071899</v>
      </c>
      <c r="C36" s="11">
        <v>0.75</v>
      </c>
      <c r="D36" s="11">
        <v>44.412516894847997</v>
      </c>
      <c r="E36" s="11">
        <v>0.75</v>
      </c>
      <c r="F36" s="11">
        <v>43.8523808292924</v>
      </c>
      <c r="G36" s="11">
        <v>-0.75</v>
      </c>
      <c r="H36" s="11">
        <v>-45.238619037906098</v>
      </c>
    </row>
    <row r="37" spans="1:8" x14ac:dyDescent="0.25">
      <c r="A37" s="11">
        <v>2</v>
      </c>
      <c r="B37" s="11">
        <v>169.66987738951801</v>
      </c>
      <c r="C37" s="11">
        <v>1</v>
      </c>
      <c r="D37" s="11">
        <v>59.213946202736103</v>
      </c>
      <c r="E37" s="11">
        <v>1</v>
      </c>
      <c r="F37" s="11">
        <v>58.466947245416598</v>
      </c>
      <c r="G37" s="11">
        <v>-1</v>
      </c>
      <c r="H37" s="11">
        <v>-59.511622332819499</v>
      </c>
    </row>
    <row r="38" spans="1:8" x14ac:dyDescent="0.25">
      <c r="A38" s="11">
        <v>2.5</v>
      </c>
      <c r="B38" s="11">
        <v>212.05862472852499</v>
      </c>
      <c r="C38" s="11">
        <v>1.25</v>
      </c>
      <c r="D38" s="11">
        <v>74.014866875180104</v>
      </c>
      <c r="E38" s="11">
        <v>1.25</v>
      </c>
      <c r="F38" s="11">
        <v>73.0812094999241</v>
      </c>
      <c r="G38" s="11">
        <v>-1.25</v>
      </c>
      <c r="H38" s="11">
        <v>-73.780261717713003</v>
      </c>
    </row>
    <row r="39" spans="1:8" x14ac:dyDescent="0.25">
      <c r="A39" s="11">
        <v>3</v>
      </c>
      <c r="B39" s="11">
        <v>254.452500284427</v>
      </c>
      <c r="C39" s="11">
        <v>1.5</v>
      </c>
      <c r="D39" s="11">
        <v>88.815305977581602</v>
      </c>
      <c r="E39" s="11">
        <v>1.5</v>
      </c>
      <c r="F39" s="11">
        <v>87.694859760243006</v>
      </c>
      <c r="G39" s="11">
        <v>-1.5</v>
      </c>
      <c r="H39" s="11">
        <v>-88.043368403781301</v>
      </c>
    </row>
    <row r="40" spans="1:8" x14ac:dyDescent="0.25">
      <c r="A40" s="11">
        <v>3.5</v>
      </c>
      <c r="B40" s="11">
        <v>296.84091636027802</v>
      </c>
      <c r="C40" s="11">
        <v>1.75</v>
      </c>
      <c r="D40" s="11">
        <v>103.615669120395</v>
      </c>
      <c r="E40" s="11">
        <v>1.75</v>
      </c>
      <c r="F40" s="11">
        <v>102.308776458788</v>
      </c>
      <c r="G40" s="11">
        <v>-1.75</v>
      </c>
      <c r="H40" s="11">
        <v>-102.301786079164</v>
      </c>
    </row>
    <row r="41" spans="1:8" x14ac:dyDescent="0.25">
      <c r="A41" s="11">
        <v>4</v>
      </c>
      <c r="B41" s="11">
        <v>339.21364964679702</v>
      </c>
      <c r="C41" s="11">
        <v>2</v>
      </c>
      <c r="D41" s="11">
        <v>118.409456252178</v>
      </c>
      <c r="E41" s="11">
        <v>2</v>
      </c>
      <c r="F41" s="11">
        <v>116.91507338325501</v>
      </c>
      <c r="G41" s="11">
        <v>-2</v>
      </c>
      <c r="H41" s="11">
        <v>-116.55715451297</v>
      </c>
    </row>
    <row r="42" spans="1:8" x14ac:dyDescent="0.25">
      <c r="A42" s="11">
        <v>3.5</v>
      </c>
      <c r="B42" s="11">
        <v>296.79576473780298</v>
      </c>
      <c r="C42" s="11">
        <v>2.25</v>
      </c>
      <c r="D42" s="11">
        <v>133.06845915539799</v>
      </c>
      <c r="E42" s="11">
        <v>2.25</v>
      </c>
      <c r="F42" s="11">
        <v>131.38130991701999</v>
      </c>
      <c r="G42" s="11">
        <v>-2.25</v>
      </c>
      <c r="H42" s="11">
        <v>-130.80592998280599</v>
      </c>
    </row>
    <row r="43" spans="1:8" x14ac:dyDescent="0.25">
      <c r="A43" s="11">
        <v>3</v>
      </c>
      <c r="B43" s="11">
        <v>254.37914969215899</v>
      </c>
      <c r="C43" s="11">
        <v>2.5</v>
      </c>
      <c r="D43" s="11">
        <v>147.72143543563701</v>
      </c>
      <c r="E43" s="11">
        <v>2.5</v>
      </c>
      <c r="F43" s="11">
        <v>145.842458774487</v>
      </c>
      <c r="G43" s="11">
        <v>-2.5</v>
      </c>
      <c r="H43" s="11">
        <v>-145.05266727791599</v>
      </c>
    </row>
    <row r="44" spans="1:8" x14ac:dyDescent="0.25">
      <c r="A44" s="11">
        <v>2.5</v>
      </c>
      <c r="B44" s="11">
        <v>211.963720232317</v>
      </c>
      <c r="C44" s="11">
        <v>2.75</v>
      </c>
      <c r="D44" s="11">
        <v>162.37019999743299</v>
      </c>
      <c r="E44" s="11">
        <v>2.75</v>
      </c>
      <c r="F44" s="11">
        <v>160.29866639420399</v>
      </c>
      <c r="G44" s="11">
        <v>-2.75</v>
      </c>
      <c r="H44" s="11">
        <v>-159.29262717105999</v>
      </c>
    </row>
    <row r="45" spans="1:8" x14ac:dyDescent="0.25">
      <c r="A45" s="11">
        <v>2</v>
      </c>
      <c r="B45" s="11">
        <v>169.54978315562499</v>
      </c>
      <c r="C45" s="11">
        <v>3</v>
      </c>
      <c r="D45" s="11">
        <v>177.01420214555</v>
      </c>
      <c r="E45" s="11">
        <v>3</v>
      </c>
      <c r="F45" s="11">
        <v>174.75000425776801</v>
      </c>
      <c r="G45" s="11">
        <v>-3</v>
      </c>
      <c r="H45" s="11">
        <v>-173.52813487128299</v>
      </c>
    </row>
    <row r="46" spans="1:8" x14ac:dyDescent="0.25">
      <c r="A46" s="11">
        <v>1.5</v>
      </c>
      <c r="B46" s="11">
        <v>127.138068969069</v>
      </c>
      <c r="C46" s="11">
        <v>3.25</v>
      </c>
      <c r="D46" s="11">
        <v>191.65301310636599</v>
      </c>
      <c r="E46" s="11">
        <v>3.25</v>
      </c>
      <c r="F46" s="11">
        <v>189.19654964145499</v>
      </c>
      <c r="G46" s="11">
        <v>-3.25</v>
      </c>
      <c r="H46" s="11">
        <v>-187.759805620675</v>
      </c>
    </row>
    <row r="47" spans="1:8" x14ac:dyDescent="0.25">
      <c r="A47" s="11">
        <v>1</v>
      </c>
      <c r="B47" s="11">
        <v>84.729538053974807</v>
      </c>
      <c r="C47" s="11">
        <v>3.5</v>
      </c>
      <c r="D47" s="11">
        <v>206.284874280601</v>
      </c>
      <c r="E47" s="11">
        <v>3.5</v>
      </c>
      <c r="F47" s="11">
        <v>203.63665147747199</v>
      </c>
      <c r="G47" s="11">
        <v>-3.5</v>
      </c>
      <c r="H47" s="11">
        <v>-201.984235925782</v>
      </c>
    </row>
    <row r="48" spans="1:8" x14ac:dyDescent="0.25">
      <c r="A48" s="11">
        <v>0.5</v>
      </c>
      <c r="B48" s="11">
        <v>42.323378454027598</v>
      </c>
      <c r="C48" s="11">
        <v>3.75</v>
      </c>
      <c r="D48" s="11">
        <v>220.91302954362899</v>
      </c>
      <c r="E48" s="11">
        <v>3.75</v>
      </c>
      <c r="F48" s="11">
        <v>218.07069466106199</v>
      </c>
      <c r="G48" s="11">
        <v>-3.75</v>
      </c>
      <c r="H48" s="11">
        <v>-216.201936185362</v>
      </c>
    </row>
    <row r="49" spans="1:8" x14ac:dyDescent="0.25">
      <c r="A49" s="11">
        <v>0</v>
      </c>
      <c r="B49" s="11">
        <v>-8.3009286941079397E-2</v>
      </c>
      <c r="C49" s="11">
        <v>4</v>
      </c>
      <c r="D49" s="11">
        <v>235.53600025287</v>
      </c>
      <c r="E49" s="11">
        <v>4</v>
      </c>
      <c r="F49" s="11">
        <v>232.49917041126801</v>
      </c>
      <c r="G49" s="11">
        <v>-4</v>
      </c>
      <c r="H49" s="11">
        <v>-230.41421651542001</v>
      </c>
    </row>
    <row r="50" spans="1:8" x14ac:dyDescent="0.25">
      <c r="A50" s="11">
        <v>-0.5</v>
      </c>
      <c r="B50" s="11">
        <v>-42.486089130339401</v>
      </c>
      <c r="C50" s="11">
        <v>4.25</v>
      </c>
      <c r="D50" s="11">
        <v>250.15435069988101</v>
      </c>
      <c r="E50" s="11">
        <v>4.25</v>
      </c>
      <c r="F50" s="11">
        <v>246.92203851835899</v>
      </c>
    </row>
    <row r="51" spans="1:8" x14ac:dyDescent="0.25">
      <c r="A51" s="11">
        <v>-1</v>
      </c>
      <c r="B51" s="11">
        <v>-84.875791486653696</v>
      </c>
      <c r="C51" s="11">
        <v>4.5</v>
      </c>
      <c r="D51" s="11">
        <v>264.76618866371803</v>
      </c>
      <c r="E51" s="11">
        <v>4.5</v>
      </c>
      <c r="F51" s="11">
        <v>261.33921170259299</v>
      </c>
    </row>
    <row r="52" spans="1:8" x14ac:dyDescent="0.25">
      <c r="A52" s="11">
        <v>-1.5</v>
      </c>
      <c r="B52" s="11">
        <v>-127.26533738840401</v>
      </c>
      <c r="C52" s="11">
        <v>4.75</v>
      </c>
      <c r="D52" s="11">
        <v>279.37168252596501</v>
      </c>
      <c r="E52" s="11">
        <v>4.75</v>
      </c>
      <c r="F52" s="11">
        <v>275.74768072581401</v>
      </c>
    </row>
    <row r="53" spans="1:8" x14ac:dyDescent="0.25">
      <c r="A53" s="11">
        <v>-2</v>
      </c>
      <c r="B53" s="11">
        <v>-169.65809418751999</v>
      </c>
      <c r="C53" s="11">
        <v>5</v>
      </c>
      <c r="D53" s="11">
        <v>293.96948479382502</v>
      </c>
      <c r="E53" s="11">
        <v>5</v>
      </c>
      <c r="F53" s="11">
        <v>290.14910901237897</v>
      </c>
    </row>
    <row r="54" spans="1:8" x14ac:dyDescent="0.25">
      <c r="A54" s="11">
        <v>-2.5</v>
      </c>
      <c r="B54" s="11">
        <v>-212.04832142861699</v>
      </c>
      <c r="C54" s="11">
        <v>5.25</v>
      </c>
      <c r="D54" s="11">
        <v>308.55940410673099</v>
      </c>
      <c r="E54" s="11">
        <v>5.25</v>
      </c>
      <c r="F54" s="11">
        <v>304.53792604824298</v>
      </c>
    </row>
    <row r="55" spans="1:8" x14ac:dyDescent="0.25">
      <c r="A55" s="11">
        <v>-3</v>
      </c>
      <c r="B55" s="11">
        <v>-254.44192867954001</v>
      </c>
      <c r="C55" s="11">
        <v>5.5</v>
      </c>
      <c r="D55" s="11">
        <v>323.136675707199</v>
      </c>
      <c r="E55" s="11">
        <v>5.5</v>
      </c>
      <c r="F55" s="11">
        <v>318.914550213712</v>
      </c>
    </row>
    <row r="56" spans="1:8" x14ac:dyDescent="0.25">
      <c r="A56" s="11">
        <v>-3.5</v>
      </c>
      <c r="B56" s="11">
        <v>-296.83248567795698</v>
      </c>
      <c r="C56" s="11">
        <v>5.75</v>
      </c>
      <c r="D56" s="11">
        <v>337.70169543383503</v>
      </c>
      <c r="E56" s="11">
        <v>5.75</v>
      </c>
      <c r="F56" s="11">
        <v>333.27587785249301</v>
      </c>
    </row>
    <row r="57" spans="1:8" x14ac:dyDescent="0.25">
      <c r="A57" s="11">
        <v>-4</v>
      </c>
      <c r="B57" s="11">
        <v>-339.22291565629098</v>
      </c>
      <c r="C57" s="11">
        <v>6</v>
      </c>
      <c r="D57" s="11">
        <v>352.25061582078598</v>
      </c>
      <c r="E57" s="11">
        <v>6</v>
      </c>
      <c r="F57" s="11">
        <v>347.62009409099898</v>
      </c>
    </row>
    <row r="58" spans="1:8" x14ac:dyDescent="0.25">
      <c r="A58" s="11">
        <v>-3.5</v>
      </c>
      <c r="B58" s="11">
        <v>-296.80519423619398</v>
      </c>
      <c r="C58" s="11">
        <v>6.25</v>
      </c>
      <c r="D58" s="11">
        <v>366.78453860571398</v>
      </c>
      <c r="E58" s="11">
        <v>6.25</v>
      </c>
      <c r="F58" s="11">
        <v>361.94562545923702</v>
      </c>
    </row>
    <row r="59" spans="1:8" x14ac:dyDescent="0.25">
      <c r="A59" s="11">
        <v>-3</v>
      </c>
      <c r="B59" s="11">
        <v>-254.38853052322699</v>
      </c>
      <c r="C59" s="11">
        <v>6.5</v>
      </c>
      <c r="D59" s="11">
        <v>381.29537916565903</v>
      </c>
      <c r="E59" s="11">
        <v>6.5</v>
      </c>
      <c r="F59" s="11">
        <v>376.25049277980202</v>
      </c>
    </row>
    <row r="60" spans="1:8" x14ac:dyDescent="0.25">
      <c r="A60" s="11">
        <v>-2.5</v>
      </c>
      <c r="B60" s="11">
        <v>-211.972948473114</v>
      </c>
      <c r="C60" s="11">
        <v>6.75</v>
      </c>
      <c r="D60" s="11">
        <v>395.783162820923</v>
      </c>
      <c r="E60" s="11">
        <v>6.75</v>
      </c>
      <c r="F60" s="11">
        <v>390.53143881708201</v>
      </c>
    </row>
    <row r="61" spans="1:8" x14ac:dyDescent="0.25">
      <c r="A61" s="11">
        <v>-2</v>
      </c>
      <c r="B61" s="11">
        <v>-169.55873816661401</v>
      </c>
      <c r="C61" s="11">
        <v>7</v>
      </c>
      <c r="D61" s="11">
        <v>410.24864910293297</v>
      </c>
      <c r="E61" s="11">
        <v>7</v>
      </c>
      <c r="F61" s="11">
        <v>404.78903422886401</v>
      </c>
    </row>
    <row r="62" spans="1:8" x14ac:dyDescent="0.25">
      <c r="A62" s="11">
        <v>-1.5</v>
      </c>
      <c r="B62" s="11">
        <v>-127.146442517821</v>
      </c>
      <c r="C62" s="11">
        <v>7.25</v>
      </c>
      <c r="D62" s="11">
        <v>424.68986858930401</v>
      </c>
      <c r="E62" s="11">
        <v>7.25</v>
      </c>
      <c r="F62" s="11">
        <v>419.01801672426399</v>
      </c>
    </row>
    <row r="63" spans="1:8" x14ac:dyDescent="0.25">
      <c r="A63" s="11">
        <v>-1</v>
      </c>
      <c r="B63" s="11">
        <v>-84.737902882301498</v>
      </c>
      <c r="C63" s="11">
        <v>7.5</v>
      </c>
      <c r="D63" s="11">
        <v>439.10292299047302</v>
      </c>
      <c r="E63" s="11">
        <v>7.5</v>
      </c>
      <c r="F63" s="11">
        <v>433.21932093603999</v>
      </c>
    </row>
    <row r="64" spans="1:8" x14ac:dyDescent="0.25">
      <c r="A64" s="11">
        <v>-0.5</v>
      </c>
      <c r="B64" s="11">
        <v>-42.333400754030201</v>
      </c>
      <c r="C64" s="11">
        <v>7.75</v>
      </c>
      <c r="D64" s="11">
        <v>453.49154996937602</v>
      </c>
      <c r="E64" s="11">
        <v>7.75</v>
      </c>
      <c r="F64" s="11">
        <v>447.393825683773</v>
      </c>
    </row>
    <row r="65" spans="1:6" x14ac:dyDescent="0.25">
      <c r="A65" s="11">
        <v>0</v>
      </c>
      <c r="B65" s="11">
        <v>7.2814899067484895E-2</v>
      </c>
      <c r="C65" s="11">
        <v>8</v>
      </c>
      <c r="D65" s="11">
        <v>467.85105389715397</v>
      </c>
      <c r="E65" s="11">
        <v>8</v>
      </c>
      <c r="F65" s="11">
        <v>461.53523462496702</v>
      </c>
    </row>
    <row r="66" spans="1:6" x14ac:dyDescent="0.25">
      <c r="A66" s="11">
        <v>0.5</v>
      </c>
      <c r="B66" s="11">
        <v>42.476356544684201</v>
      </c>
      <c r="C66" s="11">
        <v>7.75</v>
      </c>
      <c r="D66" s="11">
        <v>453.06894086785002</v>
      </c>
      <c r="E66" s="11">
        <v>7.75</v>
      </c>
      <c r="F66" s="11">
        <v>446.97745674411499</v>
      </c>
    </row>
    <row r="67" spans="1:6" x14ac:dyDescent="0.25">
      <c r="A67" s="11">
        <v>1</v>
      </c>
      <c r="B67" s="11">
        <v>84.870974152335506</v>
      </c>
      <c r="C67" s="11">
        <v>7.5</v>
      </c>
      <c r="D67" s="11">
        <v>438.28700122087201</v>
      </c>
      <c r="E67" s="11">
        <v>7.5</v>
      </c>
      <c r="F67" s="11">
        <v>432.41573772250501</v>
      </c>
    </row>
    <row r="68" spans="1:6" x14ac:dyDescent="0.25">
      <c r="A68" s="11">
        <v>1.5</v>
      </c>
      <c r="B68" s="11">
        <v>127.26316746182</v>
      </c>
      <c r="C68" s="11">
        <v>7.25</v>
      </c>
      <c r="D68" s="11">
        <v>423.50525918943902</v>
      </c>
      <c r="E68" s="11">
        <v>7.25</v>
      </c>
      <c r="F68" s="11">
        <v>417.852062115237</v>
      </c>
    </row>
    <row r="69" spans="1:6" x14ac:dyDescent="0.25">
      <c r="A69" s="11">
        <v>2</v>
      </c>
      <c r="B69" s="11">
        <v>169.65506460768799</v>
      </c>
      <c r="C69" s="11">
        <v>7</v>
      </c>
      <c r="D69" s="11">
        <v>408.72371691213601</v>
      </c>
      <c r="E69" s="11">
        <v>7</v>
      </c>
      <c r="F69" s="11">
        <v>403.28507926996201</v>
      </c>
    </row>
    <row r="70" spans="1:6" x14ac:dyDescent="0.25">
      <c r="A70" s="11">
        <v>2.5</v>
      </c>
      <c r="B70" s="11">
        <v>212.043753969927</v>
      </c>
      <c r="C70" s="11">
        <v>6.75</v>
      </c>
      <c r="D70" s="11">
        <v>393.94234748435002</v>
      </c>
      <c r="E70" s="11">
        <v>6.75</v>
      </c>
      <c r="F70" s="11">
        <v>388.71389181901299</v>
      </c>
    </row>
    <row r="71" spans="1:6" x14ac:dyDescent="0.25">
      <c r="A71" s="11">
        <v>3</v>
      </c>
      <c r="B71" s="11">
        <v>254.43756856772899</v>
      </c>
      <c r="C71" s="11">
        <v>6.5</v>
      </c>
      <c r="D71" s="11">
        <v>379.16117152124099</v>
      </c>
      <c r="E71" s="11">
        <v>6.5</v>
      </c>
      <c r="F71" s="11">
        <v>374.13808828788899</v>
      </c>
    </row>
    <row r="72" spans="1:6" x14ac:dyDescent="0.25">
      <c r="A72" s="11">
        <v>3.5</v>
      </c>
      <c r="B72" s="11">
        <v>296.82593193155901</v>
      </c>
      <c r="C72" s="11">
        <v>6.25</v>
      </c>
      <c r="D72" s="11">
        <v>364.380172272913</v>
      </c>
      <c r="E72" s="11">
        <v>6.25</v>
      </c>
      <c r="F72" s="11">
        <v>359.56069926097501</v>
      </c>
    </row>
    <row r="73" spans="1:6" x14ac:dyDescent="0.25">
      <c r="A73" s="11">
        <v>4</v>
      </c>
      <c r="B73" s="11">
        <v>339.21380802135599</v>
      </c>
      <c r="C73" s="11">
        <v>6</v>
      </c>
      <c r="D73" s="11">
        <v>349.59932021403</v>
      </c>
      <c r="E73" s="11">
        <v>6</v>
      </c>
      <c r="F73" s="11">
        <v>344.980347449845</v>
      </c>
    </row>
    <row r="74" spans="1:6" x14ac:dyDescent="0.25">
      <c r="A74" s="11">
        <v>3.5</v>
      </c>
      <c r="B74" s="11">
        <v>296.79592311254498</v>
      </c>
      <c r="C74" s="11">
        <v>5.75</v>
      </c>
      <c r="D74" s="11">
        <v>334.81862198012698</v>
      </c>
      <c r="E74" s="11">
        <v>5.75</v>
      </c>
      <c r="F74" s="11">
        <v>330.39771897281798</v>
      </c>
    </row>
    <row r="75" spans="1:6" x14ac:dyDescent="0.25">
      <c r="A75" s="11">
        <v>3</v>
      </c>
      <c r="B75" s="11">
        <v>254.37930817536099</v>
      </c>
      <c r="C75" s="11">
        <v>5.5</v>
      </c>
      <c r="D75" s="11">
        <v>320.03806312762902</v>
      </c>
      <c r="E75" s="11">
        <v>5.5</v>
      </c>
      <c r="F75" s="11">
        <v>315.81367808957202</v>
      </c>
    </row>
    <row r="76" spans="1:6" x14ac:dyDescent="0.25">
      <c r="A76" s="11">
        <v>2.5</v>
      </c>
      <c r="B76" s="11">
        <v>211.96387884828701</v>
      </c>
      <c r="C76" s="11">
        <v>5.25</v>
      </c>
      <c r="D76" s="11">
        <v>305.25763810433199</v>
      </c>
      <c r="E76" s="11">
        <v>5.25</v>
      </c>
      <c r="F76" s="11">
        <v>301.22839493609598</v>
      </c>
    </row>
    <row r="77" spans="1:6" x14ac:dyDescent="0.25">
      <c r="A77" s="11">
        <v>2</v>
      </c>
      <c r="B77" s="11">
        <v>169.54994201996601</v>
      </c>
      <c r="C77" s="11">
        <v>5</v>
      </c>
      <c r="D77" s="11">
        <v>290.477388370575</v>
      </c>
      <c r="E77" s="11">
        <v>5</v>
      </c>
      <c r="F77" s="11">
        <v>286.64158431598901</v>
      </c>
    </row>
    <row r="78" spans="1:6" x14ac:dyDescent="0.25">
      <c r="A78" s="11">
        <v>1.5</v>
      </c>
      <c r="B78" s="11">
        <v>127.138228351089</v>
      </c>
      <c r="C78" s="11">
        <v>4.75</v>
      </c>
      <c r="D78" s="11">
        <v>275.697350175135</v>
      </c>
      <c r="E78" s="11">
        <v>4.75</v>
      </c>
      <c r="F78" s="11">
        <v>272.05320656803701</v>
      </c>
    </row>
    <row r="79" spans="1:6" x14ac:dyDescent="0.25">
      <c r="A79" s="11">
        <v>1</v>
      </c>
      <c r="B79" s="11">
        <v>84.729698014219693</v>
      </c>
      <c r="C79" s="11">
        <v>4.5</v>
      </c>
      <c r="D79" s="11">
        <v>260.91755332999497</v>
      </c>
      <c r="E79" s="11">
        <v>4.5</v>
      </c>
      <c r="F79" s="11">
        <v>257.46378139882597</v>
      </c>
    </row>
    <row r="80" spans="1:6" x14ac:dyDescent="0.25">
      <c r="A80" s="11">
        <v>0.5</v>
      </c>
      <c r="B80" s="11">
        <v>42.323539042725102</v>
      </c>
      <c r="C80" s="11">
        <v>4.25</v>
      </c>
      <c r="D80" s="11">
        <v>246.137779336515</v>
      </c>
      <c r="E80" s="11">
        <v>4.25</v>
      </c>
      <c r="F80" s="11">
        <v>242.87320607345899</v>
      </c>
    </row>
    <row r="81" spans="1:6" x14ac:dyDescent="0.25">
      <c r="A81" s="11">
        <v>0</v>
      </c>
      <c r="B81" s="11">
        <v>-8.2848036174301101E-2</v>
      </c>
      <c r="C81" s="11">
        <v>4</v>
      </c>
      <c r="D81" s="11">
        <v>231.358318084182</v>
      </c>
      <c r="E81" s="11">
        <v>4</v>
      </c>
      <c r="F81" s="11">
        <v>228.282446328383</v>
      </c>
    </row>
    <row r="82" spans="1:6" x14ac:dyDescent="0.25">
      <c r="A82" s="11">
        <v>-0.5</v>
      </c>
      <c r="B82" s="11">
        <v>-42.485927223820099</v>
      </c>
      <c r="C82" s="11">
        <v>3.75</v>
      </c>
      <c r="D82" s="11">
        <v>216.579275456993</v>
      </c>
      <c r="E82" s="11">
        <v>3.75</v>
      </c>
      <c r="F82" s="11">
        <v>213.69090296899</v>
      </c>
    </row>
    <row r="83" spans="1:6" x14ac:dyDescent="0.25">
      <c r="A83" s="11">
        <v>-1</v>
      </c>
      <c r="B83" s="11">
        <v>-84.875628973862007</v>
      </c>
      <c r="C83" s="11">
        <v>3.5</v>
      </c>
      <c r="D83" s="11">
        <v>201.80091190602599</v>
      </c>
      <c r="E83" s="11">
        <v>3.5</v>
      </c>
      <c r="F83" s="11">
        <v>199.098537632812</v>
      </c>
    </row>
    <row r="84" spans="1:6" x14ac:dyDescent="0.25">
      <c r="A84" s="11">
        <v>-1.5</v>
      </c>
      <c r="B84" s="11">
        <v>-127.265174108376</v>
      </c>
      <c r="C84" s="11">
        <v>3.25</v>
      </c>
      <c r="D84" s="11">
        <v>187.022740080982</v>
      </c>
      <c r="E84" s="11">
        <v>3.25</v>
      </c>
      <c r="F84" s="11">
        <v>184.50565026769701</v>
      </c>
    </row>
    <row r="85" spans="1:6" x14ac:dyDescent="0.25">
      <c r="A85" s="11">
        <v>-2</v>
      </c>
      <c r="B85" s="11">
        <v>-169.65793020174499</v>
      </c>
      <c r="C85" s="11">
        <v>3</v>
      </c>
      <c r="D85" s="11">
        <v>172.24463341179799</v>
      </c>
      <c r="E85" s="11">
        <v>3</v>
      </c>
      <c r="F85" s="11">
        <v>169.91322684562499</v>
      </c>
    </row>
    <row r="86" spans="1:6" x14ac:dyDescent="0.25">
      <c r="A86" s="11">
        <v>-2.5</v>
      </c>
      <c r="B86" s="11">
        <v>-212.04815671266701</v>
      </c>
      <c r="C86" s="11">
        <v>2.75</v>
      </c>
      <c r="D86" s="11">
        <v>157.46733955078901</v>
      </c>
      <c r="E86" s="11">
        <v>2.75</v>
      </c>
      <c r="F86" s="11">
        <v>155.32137117836299</v>
      </c>
    </row>
    <row r="87" spans="1:6" x14ac:dyDescent="0.25">
      <c r="A87" s="11">
        <v>-3</v>
      </c>
      <c r="B87" s="11">
        <v>-254.441763271382</v>
      </c>
      <c r="C87" s="11">
        <v>2.5</v>
      </c>
      <c r="D87" s="11">
        <v>142.69146724644401</v>
      </c>
      <c r="E87" s="11">
        <v>2.5</v>
      </c>
      <c r="F87" s="11">
        <v>140.73072854055499</v>
      </c>
    </row>
    <row r="88" spans="1:6" x14ac:dyDescent="0.25">
      <c r="A88" s="11">
        <v>-3.5</v>
      </c>
      <c r="B88" s="11">
        <v>-296.83231949158898</v>
      </c>
      <c r="C88" s="11">
        <v>2.25</v>
      </c>
      <c r="D88" s="11">
        <v>127.915936922108</v>
      </c>
      <c r="E88" s="11">
        <v>2.25</v>
      </c>
      <c r="F88" s="11">
        <v>126.13958040774401</v>
      </c>
    </row>
    <row r="89" spans="1:6" x14ac:dyDescent="0.25">
      <c r="A89" s="11">
        <v>-4</v>
      </c>
      <c r="B89" s="11">
        <v>-339.22291722950598</v>
      </c>
      <c r="C89" s="11">
        <v>2</v>
      </c>
      <c r="D89" s="11">
        <v>113.14174965212599</v>
      </c>
      <c r="E89" s="11">
        <v>2</v>
      </c>
      <c r="F89" s="11">
        <v>111.551871897284</v>
      </c>
    </row>
    <row r="90" spans="1:6" x14ac:dyDescent="0.25">
      <c r="C90" s="11">
        <v>1.75</v>
      </c>
      <c r="D90" s="11">
        <v>98.370251902011702</v>
      </c>
      <c r="E90" s="11">
        <v>1.75</v>
      </c>
      <c r="F90" s="11">
        <v>96.963393621827095</v>
      </c>
    </row>
    <row r="91" spans="1:6" x14ac:dyDescent="0.25">
      <c r="C91" s="11">
        <v>1.5</v>
      </c>
      <c r="D91" s="11">
        <v>83.598715298939993</v>
      </c>
      <c r="E91" s="11">
        <v>1.5</v>
      </c>
      <c r="F91" s="11">
        <v>82.377246582213601</v>
      </c>
    </row>
    <row r="92" spans="1:6" x14ac:dyDescent="0.25">
      <c r="C92" s="11">
        <v>1.25</v>
      </c>
      <c r="D92" s="11">
        <v>68.829390239879601</v>
      </c>
      <c r="E92" s="11">
        <v>1.25</v>
      </c>
      <c r="F92" s="11">
        <v>67.790976125239595</v>
      </c>
    </row>
    <row r="93" spans="1:6" x14ac:dyDescent="0.25">
      <c r="C93" s="11">
        <v>1</v>
      </c>
      <c r="D93" s="11">
        <v>54.056188646436397</v>
      </c>
      <c r="E93" s="11">
        <v>1</v>
      </c>
      <c r="F93" s="11">
        <v>53.202179584459302</v>
      </c>
    </row>
    <row r="94" spans="1:6" x14ac:dyDescent="0.25">
      <c r="C94" s="11">
        <v>0.75</v>
      </c>
      <c r="D94" s="11">
        <v>39.284026196241598</v>
      </c>
      <c r="E94" s="11">
        <v>0.75</v>
      </c>
      <c r="F94" s="11">
        <v>38.614958088483696</v>
      </c>
    </row>
    <row r="95" spans="1:6" x14ac:dyDescent="0.25">
      <c r="C95" s="11">
        <v>0.5</v>
      </c>
      <c r="D95" s="11">
        <v>24.5118117721861</v>
      </c>
      <c r="E95" s="11">
        <v>0.5</v>
      </c>
      <c r="F95" s="11">
        <v>24.0258038836384</v>
      </c>
    </row>
    <row r="96" spans="1:6" x14ac:dyDescent="0.25">
      <c r="C96" s="11">
        <v>0.25</v>
      </c>
      <c r="D96" s="11">
        <v>9.7360203552517799</v>
      </c>
      <c r="E96" s="11">
        <v>0.25</v>
      </c>
      <c r="F96" s="11">
        <v>9.4349705742235201</v>
      </c>
    </row>
    <row r="97" spans="3:6" x14ac:dyDescent="0.25">
      <c r="C97" s="11">
        <v>0</v>
      </c>
      <c r="D97" s="11">
        <v>-5.0402500268311599</v>
      </c>
      <c r="E97" s="11">
        <v>0</v>
      </c>
      <c r="F97" s="11">
        <v>-5.1565096603569902</v>
      </c>
    </row>
    <row r="98" spans="3:6" x14ac:dyDescent="0.25">
      <c r="C98" s="11">
        <v>-0.25</v>
      </c>
      <c r="D98" s="11">
        <v>-19.813615107615</v>
      </c>
      <c r="E98" s="11">
        <v>-0.25</v>
      </c>
      <c r="F98" s="11">
        <v>-19.745768008464999</v>
      </c>
    </row>
    <row r="99" spans="3:6" x14ac:dyDescent="0.25">
      <c r="C99" s="11">
        <v>-0.5</v>
      </c>
      <c r="D99" s="11">
        <v>-34.580248775663499</v>
      </c>
      <c r="E99" s="11">
        <v>-0.5</v>
      </c>
      <c r="F99" s="11">
        <v>-34.3298529211066</v>
      </c>
    </row>
    <row r="100" spans="3:6" x14ac:dyDescent="0.25">
      <c r="C100" s="11">
        <v>-0.75</v>
      </c>
      <c r="D100" s="11">
        <v>-49.338989824356297</v>
      </c>
      <c r="E100" s="11">
        <v>-0.75</v>
      </c>
      <c r="F100" s="11">
        <v>-48.906276466320897</v>
      </c>
    </row>
    <row r="101" spans="3:6" x14ac:dyDescent="0.25">
      <c r="C101" s="11">
        <v>-1</v>
      </c>
      <c r="D101" s="11">
        <v>-64.094228555822994</v>
      </c>
      <c r="E101" s="11">
        <v>-1</v>
      </c>
      <c r="F101" s="11">
        <v>-63.478303422113903</v>
      </c>
    </row>
    <row r="102" spans="3:6" x14ac:dyDescent="0.25">
      <c r="C102" s="11">
        <v>-1.25</v>
      </c>
      <c r="D102" s="11">
        <v>-78.840113088606103</v>
      </c>
      <c r="E102" s="11">
        <v>-1.25</v>
      </c>
      <c r="F102" s="11">
        <v>-78.047495409861199</v>
      </c>
    </row>
    <row r="103" spans="3:6" x14ac:dyDescent="0.25">
      <c r="C103" s="11">
        <v>-1.5</v>
      </c>
      <c r="D103" s="11">
        <v>-93.594574528609897</v>
      </c>
      <c r="E103" s="11">
        <v>-1.5</v>
      </c>
      <c r="F103" s="11">
        <v>-92.6149414387435</v>
      </c>
    </row>
    <row r="104" spans="3:6" x14ac:dyDescent="0.25">
      <c r="C104" s="11">
        <v>-1.75</v>
      </c>
      <c r="D104" s="11">
        <v>-108.34796101404299</v>
      </c>
      <c r="E104" s="11">
        <v>-1.75</v>
      </c>
      <c r="F104" s="11">
        <v>-107.185200882202</v>
      </c>
    </row>
    <row r="105" spans="3:6" x14ac:dyDescent="0.25">
      <c r="C105" s="11">
        <v>-2</v>
      </c>
      <c r="D105" s="11">
        <v>-123.084476822716</v>
      </c>
      <c r="E105" s="11">
        <v>-2</v>
      </c>
      <c r="F105" s="11">
        <v>-121.72642488097</v>
      </c>
    </row>
    <row r="106" spans="3:6" x14ac:dyDescent="0.25">
      <c r="C106" s="11">
        <v>-2.25</v>
      </c>
      <c r="D106" s="11">
        <v>-137.70606074962001</v>
      </c>
      <c r="E106" s="11">
        <v>-2.25</v>
      </c>
      <c r="F106" s="11">
        <v>-136.164512402192</v>
      </c>
    </row>
    <row r="107" spans="3:6" x14ac:dyDescent="0.25">
      <c r="C107" s="11">
        <v>-2.5</v>
      </c>
      <c r="D107" s="11">
        <v>-152.332438502147</v>
      </c>
      <c r="E107" s="11">
        <v>-2.5</v>
      </c>
      <c r="F107" s="11">
        <v>-150.590369072681</v>
      </c>
    </row>
    <row r="108" spans="3:6" x14ac:dyDescent="0.25">
      <c r="C108" s="11">
        <v>-2.75</v>
      </c>
      <c r="D108" s="11">
        <v>-166.95734216767801</v>
      </c>
      <c r="E108" s="11">
        <v>-2.75</v>
      </c>
      <c r="F108" s="11">
        <v>-165.02281338327401</v>
      </c>
    </row>
    <row r="109" spans="3:6" x14ac:dyDescent="0.25">
      <c r="C109" s="11">
        <v>-3</v>
      </c>
      <c r="D109" s="11">
        <v>-181.57313426195199</v>
      </c>
      <c r="E109" s="11">
        <v>-3</v>
      </c>
      <c r="F109" s="11">
        <v>-179.45099398175299</v>
      </c>
    </row>
    <row r="110" spans="3:6" x14ac:dyDescent="0.25">
      <c r="C110" s="11">
        <v>-3.25</v>
      </c>
      <c r="D110" s="11">
        <v>-196.187670477392</v>
      </c>
      <c r="E110" s="11">
        <v>-3.25</v>
      </c>
      <c r="F110" s="11">
        <v>-193.86920953309101</v>
      </c>
    </row>
    <row r="111" spans="3:6" x14ac:dyDescent="0.25">
      <c r="C111" s="11">
        <v>-3.5</v>
      </c>
      <c r="D111" s="11">
        <v>-210.79669690953901</v>
      </c>
      <c r="E111" s="11">
        <v>-3.5</v>
      </c>
      <c r="F111" s="11">
        <v>-208.284619549437</v>
      </c>
    </row>
    <row r="112" spans="3:6" x14ac:dyDescent="0.25">
      <c r="C112" s="11">
        <v>-3.75</v>
      </c>
      <c r="D112" s="11">
        <v>-225.408808036344</v>
      </c>
      <c r="E112" s="11">
        <v>-3.75</v>
      </c>
      <c r="F112" s="11">
        <v>-222.696804535876</v>
      </c>
    </row>
    <row r="113" spans="3:6" x14ac:dyDescent="0.25">
      <c r="C113" s="11">
        <v>-4</v>
      </c>
      <c r="D113" s="11">
        <v>-240.01431063576899</v>
      </c>
      <c r="E113" s="11">
        <v>-4</v>
      </c>
      <c r="F113" s="11">
        <v>-237.10990567753799</v>
      </c>
    </row>
    <row r="114" spans="3:6" x14ac:dyDescent="0.25">
      <c r="C114" s="11">
        <v>-4.25</v>
      </c>
      <c r="D114" s="11">
        <v>-254.61066368664501</v>
      </c>
      <c r="E114" s="11">
        <v>-4.25</v>
      </c>
      <c r="F114" s="11">
        <v>-251.51496122447199</v>
      </c>
    </row>
    <row r="115" spans="3:6" x14ac:dyDescent="0.25">
      <c r="C115" s="11">
        <v>-4.5</v>
      </c>
      <c r="D115" s="11">
        <v>-269.202401832578</v>
      </c>
      <c r="E115" s="11">
        <v>-4.5</v>
      </c>
      <c r="F115" s="11">
        <v>-265.907899392996</v>
      </c>
    </row>
    <row r="116" spans="3:6" x14ac:dyDescent="0.25">
      <c r="C116" s="11">
        <v>-4.75</v>
      </c>
      <c r="D116" s="11">
        <v>-283.78314981504298</v>
      </c>
      <c r="E116" s="11">
        <v>-4.75</v>
      </c>
      <c r="F116" s="11">
        <v>-280.29237401821302</v>
      </c>
    </row>
    <row r="117" spans="3:6" x14ac:dyDescent="0.25">
      <c r="C117" s="11">
        <v>-5</v>
      </c>
      <c r="D117" s="11">
        <v>-298.35394553026202</v>
      </c>
      <c r="E117" s="11">
        <v>-5</v>
      </c>
      <c r="F117" s="11">
        <v>-294.66353930513401</v>
      </c>
    </row>
    <row r="118" spans="3:6" x14ac:dyDescent="0.25">
      <c r="C118" s="11">
        <v>-5.25</v>
      </c>
      <c r="D118" s="11">
        <v>-312.91621099499503</v>
      </c>
      <c r="E118" s="11">
        <v>-5.25</v>
      </c>
      <c r="F118" s="11">
        <v>-309.021975881309</v>
      </c>
    </row>
    <row r="119" spans="3:6" x14ac:dyDescent="0.25">
      <c r="C119" s="11">
        <v>-5.5</v>
      </c>
      <c r="D119" s="11">
        <v>-327.46120738099302</v>
      </c>
      <c r="E119" s="11">
        <v>-5.5</v>
      </c>
      <c r="F119" s="11">
        <v>-323.36484264491702</v>
      </c>
    </row>
    <row r="120" spans="3:6" x14ac:dyDescent="0.25">
      <c r="C120" s="11">
        <v>-5.75</v>
      </c>
      <c r="D120" s="11">
        <v>-341.98547979556599</v>
      </c>
      <c r="E120" s="11">
        <v>-5.75</v>
      </c>
      <c r="F120" s="11">
        <v>-337.69119018247397</v>
      </c>
    </row>
    <row r="121" spans="3:6" x14ac:dyDescent="0.25">
      <c r="C121" s="11">
        <v>-6</v>
      </c>
      <c r="D121" s="11">
        <v>-356.49501884749998</v>
      </c>
      <c r="E121" s="11">
        <v>-6</v>
      </c>
      <c r="F121" s="11">
        <v>-351.99981127781098</v>
      </c>
    </row>
    <row r="122" spans="3:6" x14ac:dyDescent="0.25">
      <c r="C122" s="11">
        <v>-6.25</v>
      </c>
      <c r="D122" s="11">
        <v>-370.98590363710701</v>
      </c>
      <c r="E122" s="11">
        <v>-6.25</v>
      </c>
      <c r="F122" s="11">
        <v>-366.28458595753801</v>
      </c>
    </row>
    <row r="123" spans="3:6" x14ac:dyDescent="0.25">
      <c r="C123" s="11">
        <v>-6.5</v>
      </c>
      <c r="D123" s="11">
        <v>-385.45210107189899</v>
      </c>
      <c r="E123" s="11">
        <v>-6.5</v>
      </c>
      <c r="F123" s="11">
        <v>-380.54672146898002</v>
      </c>
    </row>
    <row r="124" spans="3:6" x14ac:dyDescent="0.25">
      <c r="C124" s="11">
        <v>-6.75</v>
      </c>
      <c r="D124" s="11">
        <v>-399.89535201157599</v>
      </c>
      <c r="E124" s="11">
        <v>-6.75</v>
      </c>
      <c r="F124" s="11">
        <v>-394.784241750371</v>
      </c>
    </row>
    <row r="125" spans="3:6" x14ac:dyDescent="0.25">
      <c r="C125" s="11">
        <v>-7</v>
      </c>
      <c r="D125" s="11">
        <v>-414.320166259666</v>
      </c>
      <c r="E125" s="11">
        <v>-7</v>
      </c>
      <c r="F125" s="11">
        <v>-408.99893846773102</v>
      </c>
    </row>
    <row r="126" spans="3:6" x14ac:dyDescent="0.25">
      <c r="C126" s="11">
        <v>-7.25</v>
      </c>
      <c r="D126" s="11">
        <v>-428.72076927588301</v>
      </c>
      <c r="E126" s="11">
        <v>-7.25</v>
      </c>
      <c r="F126" s="11">
        <v>-423.18837495780201</v>
      </c>
    </row>
    <row r="127" spans="3:6" x14ac:dyDescent="0.25">
      <c r="C127" s="11">
        <v>-7.5</v>
      </c>
      <c r="D127" s="11">
        <v>-443.099716798298</v>
      </c>
      <c r="E127" s="11">
        <v>-7.5</v>
      </c>
      <c r="F127" s="11">
        <v>-437.35237791948202</v>
      </c>
    </row>
    <row r="128" spans="3:6" x14ac:dyDescent="0.25">
      <c r="C128" s="11">
        <v>-7.75</v>
      </c>
      <c r="D128" s="11">
        <v>-457.45932433800402</v>
      </c>
      <c r="E128" s="11">
        <v>-7.75</v>
      </c>
      <c r="F128" s="11">
        <v>-451.48872980608098</v>
      </c>
    </row>
    <row r="129" spans="3:6" x14ac:dyDescent="0.25">
      <c r="C129" s="11">
        <v>-8</v>
      </c>
      <c r="D129" s="11">
        <v>-471.79600431509698</v>
      </c>
      <c r="E129" s="11">
        <v>-8</v>
      </c>
      <c r="F129" s="11">
        <v>-465.60494743803099</v>
      </c>
    </row>
    <row r="130" spans="3:6" x14ac:dyDescent="0.25">
      <c r="C130" s="11">
        <v>-7.5</v>
      </c>
      <c r="D130" s="11">
        <v>-442.24131992769799</v>
      </c>
      <c r="E130" s="11">
        <v>-7.5</v>
      </c>
      <c r="F130" s="11">
        <v>-436.49277713738502</v>
      </c>
    </row>
    <row r="131" spans="3:6" x14ac:dyDescent="0.25">
      <c r="C131" s="11">
        <v>-7</v>
      </c>
      <c r="D131" s="11">
        <v>-412.68866424176298</v>
      </c>
      <c r="E131" s="11">
        <v>-7</v>
      </c>
      <c r="F131" s="11">
        <v>-407.37043164795898</v>
      </c>
    </row>
    <row r="132" spans="3:6" x14ac:dyDescent="0.25">
      <c r="C132" s="11">
        <v>-6.5</v>
      </c>
      <c r="D132" s="11">
        <v>-383.13799983445398</v>
      </c>
      <c r="E132" s="11">
        <v>-6.5</v>
      </c>
      <c r="F132" s="11">
        <v>-378.23778160837003</v>
      </c>
    </row>
    <row r="133" spans="3:6" x14ac:dyDescent="0.25">
      <c r="C133" s="11">
        <v>-6</v>
      </c>
      <c r="D133" s="11">
        <v>-353.589326329784</v>
      </c>
      <c r="E133" s="11">
        <v>-6</v>
      </c>
      <c r="F133" s="11">
        <v>-349.09409068807003</v>
      </c>
    </row>
    <row r="134" spans="3:6" x14ac:dyDescent="0.25">
      <c r="C134" s="11">
        <v>-5.5</v>
      </c>
      <c r="D134" s="11">
        <v>-324.04248284670501</v>
      </c>
      <c r="E134" s="11">
        <v>-5.5</v>
      </c>
      <c r="F134" s="11">
        <v>-319.943058161892</v>
      </c>
    </row>
    <row r="135" spans="3:6" x14ac:dyDescent="0.25">
      <c r="C135" s="11">
        <v>-5</v>
      </c>
      <c r="D135" s="11">
        <v>-294.49781935563698</v>
      </c>
      <c r="E135" s="11">
        <v>-5</v>
      </c>
      <c r="F135" s="11">
        <v>-290.78755048507799</v>
      </c>
    </row>
    <row r="136" spans="3:6" x14ac:dyDescent="0.25">
      <c r="C136" s="11">
        <v>-4.5</v>
      </c>
      <c r="D136" s="11">
        <v>-264.957194262234</v>
      </c>
      <c r="E136" s="11">
        <v>-4.5</v>
      </c>
      <c r="F136" s="11">
        <v>-261.630189477192</v>
      </c>
    </row>
    <row r="137" spans="3:6" x14ac:dyDescent="0.25">
      <c r="C137" s="11">
        <v>-4</v>
      </c>
      <c r="D137" s="11">
        <v>-235.420154773571</v>
      </c>
      <c r="E137" s="11">
        <v>-4</v>
      </c>
      <c r="F137" s="11">
        <v>-232.47099947819899</v>
      </c>
    </row>
    <row r="138" spans="3:6" x14ac:dyDescent="0.25">
      <c r="C138" s="11">
        <v>-3.5</v>
      </c>
      <c r="D138" s="11">
        <v>-205.88849510113701</v>
      </c>
      <c r="E138" s="11">
        <v>-3.5</v>
      </c>
      <c r="F138" s="11">
        <v>-203.31416502429599</v>
      </c>
    </row>
    <row r="139" spans="3:6" x14ac:dyDescent="0.25">
      <c r="C139" s="11">
        <v>-3</v>
      </c>
      <c r="D139" s="11">
        <v>-176.36586774895599</v>
      </c>
      <c r="E139" s="11">
        <v>-3</v>
      </c>
      <c r="F139" s="11">
        <v>-174.163531250338</v>
      </c>
    </row>
    <row r="140" spans="3:6" x14ac:dyDescent="0.25">
      <c r="C140" s="11">
        <v>-2.5</v>
      </c>
      <c r="D140" s="11">
        <v>-146.853753461271</v>
      </c>
      <c r="E140" s="11">
        <v>-2.5</v>
      </c>
      <c r="F140" s="11">
        <v>-145.02391038839801</v>
      </c>
    </row>
    <row r="141" spans="3:6" x14ac:dyDescent="0.25">
      <c r="C141" s="11">
        <v>-2</v>
      </c>
      <c r="D141" s="11">
        <v>-117.353594752147</v>
      </c>
      <c r="E141" s="11">
        <v>-2</v>
      </c>
      <c r="F141" s="11">
        <v>-115.895617472724</v>
      </c>
    </row>
    <row r="142" spans="3:6" x14ac:dyDescent="0.25">
      <c r="C142" s="11">
        <v>-1.5</v>
      </c>
      <c r="D142" s="11">
        <v>-87.871913801245796</v>
      </c>
      <c r="E142" s="11">
        <v>-1.5</v>
      </c>
      <c r="F142" s="11">
        <v>-86.780247326707297</v>
      </c>
    </row>
    <row r="143" spans="3:6" x14ac:dyDescent="0.25">
      <c r="C143" s="11">
        <v>-1</v>
      </c>
      <c r="D143" s="11">
        <v>-58.398724481373598</v>
      </c>
      <c r="E143" s="11">
        <v>-1</v>
      </c>
      <c r="F143" s="11">
        <v>-57.671183519167201</v>
      </c>
    </row>
    <row r="144" spans="3:6" x14ac:dyDescent="0.25">
      <c r="C144" s="11">
        <v>-0.5</v>
      </c>
      <c r="D144" s="11">
        <v>-28.9246793148439</v>
      </c>
      <c r="E144" s="11">
        <v>-0.5</v>
      </c>
      <c r="F144" s="11">
        <v>-28.5600091439814</v>
      </c>
    </row>
    <row r="145" spans="3:6" x14ac:dyDescent="0.25">
      <c r="C145" s="11">
        <v>0</v>
      </c>
      <c r="D145" s="11">
        <v>0.55658301817831002</v>
      </c>
      <c r="E145" s="11">
        <v>0</v>
      </c>
      <c r="F145" s="11">
        <v>0.55637856313299106</v>
      </c>
    </row>
    <row r="146" spans="3:6" x14ac:dyDescent="0.25">
      <c r="C146" s="11">
        <v>0.5</v>
      </c>
      <c r="D146" s="11">
        <v>30.030645576336099</v>
      </c>
      <c r="E146" s="11">
        <v>0.5</v>
      </c>
      <c r="F146" s="11">
        <v>29.668362625614801</v>
      </c>
    </row>
    <row r="147" spans="3:6" x14ac:dyDescent="0.25">
      <c r="C147" s="11">
        <v>1</v>
      </c>
      <c r="D147" s="11">
        <v>59.488621576216303</v>
      </c>
      <c r="E147" s="11">
        <v>1</v>
      </c>
      <c r="F147" s="11">
        <v>58.764966501813703</v>
      </c>
    </row>
    <row r="148" spans="3:6" x14ac:dyDescent="0.25">
      <c r="C148" s="11">
        <v>1.5</v>
      </c>
      <c r="D148" s="11">
        <v>88.925305568740598</v>
      </c>
      <c r="E148" s="11">
        <v>1.5</v>
      </c>
      <c r="F148" s="11">
        <v>87.8436418991312</v>
      </c>
    </row>
    <row r="149" spans="3:6" x14ac:dyDescent="0.25">
      <c r="C149" s="11">
        <v>2</v>
      </c>
      <c r="D149" s="11">
        <v>118.373026053123</v>
      </c>
      <c r="E149" s="11">
        <v>2</v>
      </c>
      <c r="F149" s="11">
        <v>116.92142814020301</v>
      </c>
    </row>
    <row r="150" spans="3:6" x14ac:dyDescent="0.25">
      <c r="C150" s="11">
        <v>2.5</v>
      </c>
      <c r="D150" s="11">
        <v>147.82103933655401</v>
      </c>
      <c r="E150" s="11">
        <v>2.5</v>
      </c>
      <c r="F150" s="11">
        <v>146.004115675321</v>
      </c>
    </row>
    <row r="151" spans="3:6" x14ac:dyDescent="0.25">
      <c r="C151" s="11">
        <v>3</v>
      </c>
      <c r="D151" s="11">
        <v>177.28785296360499</v>
      </c>
      <c r="E151" s="11">
        <v>3</v>
      </c>
      <c r="F151" s="11">
        <v>175.10277188665901</v>
      </c>
    </row>
    <row r="152" spans="3:6" x14ac:dyDescent="0.25">
      <c r="C152" s="11">
        <v>3.5</v>
      </c>
      <c r="D152" s="11">
        <v>206.75317861587999</v>
      </c>
      <c r="E152" s="11">
        <v>3.5</v>
      </c>
      <c r="F152" s="11">
        <v>204.19321165123</v>
      </c>
    </row>
    <row r="153" spans="3:6" x14ac:dyDescent="0.25">
      <c r="C153" s="11">
        <v>4</v>
      </c>
      <c r="D153" s="11">
        <v>236.24007416882401</v>
      </c>
      <c r="E153" s="11">
        <v>4</v>
      </c>
      <c r="F153" s="11">
        <v>233.30108893838599</v>
      </c>
    </row>
    <row r="154" spans="3:6" x14ac:dyDescent="0.25">
      <c r="C154" s="11">
        <v>4.5</v>
      </c>
      <c r="D154" s="11">
        <v>265.72050673821002</v>
      </c>
      <c r="E154" s="11">
        <v>4.5</v>
      </c>
      <c r="F154" s="11">
        <v>262.40982118589898</v>
      </c>
    </row>
    <row r="155" spans="3:6" x14ac:dyDescent="0.25">
      <c r="C155" s="11">
        <v>5</v>
      </c>
      <c r="D155" s="11">
        <v>295.20474041182803</v>
      </c>
      <c r="E155" s="11">
        <v>5</v>
      </c>
      <c r="F155" s="11">
        <v>291.50818852401198</v>
      </c>
    </row>
    <row r="156" spans="3:6" x14ac:dyDescent="0.25">
      <c r="C156" s="11">
        <v>5.5</v>
      </c>
      <c r="D156" s="11">
        <v>324.691316237178</v>
      </c>
      <c r="E156" s="11">
        <v>5.5</v>
      </c>
      <c r="F156" s="11">
        <v>320.60359994030603</v>
      </c>
    </row>
    <row r="157" spans="3:6" x14ac:dyDescent="0.25">
      <c r="C157" s="11">
        <v>6</v>
      </c>
      <c r="D157" s="11">
        <v>354.17277627988602</v>
      </c>
      <c r="E157" s="11">
        <v>6</v>
      </c>
      <c r="F157" s="11">
        <v>349.68664605301399</v>
      </c>
    </row>
    <row r="158" spans="3:6" x14ac:dyDescent="0.25">
      <c r="C158" s="11">
        <v>6.5</v>
      </c>
      <c r="D158" s="11">
        <v>383.65079884867498</v>
      </c>
      <c r="E158" s="11">
        <v>6.5</v>
      </c>
      <c r="F158" s="11">
        <v>378.76135453079797</v>
      </c>
    </row>
    <row r="159" spans="3:6" x14ac:dyDescent="0.25">
      <c r="C159" s="11">
        <v>7</v>
      </c>
      <c r="D159" s="11">
        <v>413.12639559396001</v>
      </c>
      <c r="E159" s="11">
        <v>7</v>
      </c>
      <c r="F159" s="11">
        <v>407.82414123237601</v>
      </c>
    </row>
    <row r="160" spans="3:6" x14ac:dyDescent="0.25">
      <c r="C160" s="11">
        <v>7.5</v>
      </c>
      <c r="D160" s="11">
        <v>442.60125686823397</v>
      </c>
      <c r="E160" s="11">
        <v>7.5</v>
      </c>
      <c r="F160" s="11">
        <v>436.85887006101802</v>
      </c>
    </row>
    <row r="161" spans="3:6" x14ac:dyDescent="0.25">
      <c r="C161" s="11">
        <v>8</v>
      </c>
      <c r="D161" s="11">
        <v>471.95170011188901</v>
      </c>
      <c r="E161" s="11">
        <v>8</v>
      </c>
      <c r="F161" s="11">
        <v>465.76391525685801</v>
      </c>
    </row>
    <row r="162" spans="3:6" x14ac:dyDescent="0.25">
      <c r="C162" s="11">
        <v>8.5</v>
      </c>
      <c r="D162" s="11">
        <v>500.52925915119698</v>
      </c>
      <c r="E162" s="11">
        <v>8.5</v>
      </c>
      <c r="F162" s="11">
        <v>493.88144227595802</v>
      </c>
    </row>
    <row r="163" spans="3:6" x14ac:dyDescent="0.25">
      <c r="C163" s="11">
        <v>9</v>
      </c>
      <c r="D163" s="11">
        <v>528.98560518463603</v>
      </c>
      <c r="E163" s="11">
        <v>9</v>
      </c>
      <c r="F163" s="11">
        <v>521.881614987837</v>
      </c>
    </row>
    <row r="164" spans="3:6" x14ac:dyDescent="0.25">
      <c r="C164" s="11">
        <v>9.5</v>
      </c>
      <c r="D164" s="11">
        <v>557.28266375532701</v>
      </c>
      <c r="E164" s="11">
        <v>9.5</v>
      </c>
      <c r="F164" s="11">
        <v>549.73249043965495</v>
      </c>
    </row>
    <row r="165" spans="3:6" x14ac:dyDescent="0.25">
      <c r="C165" s="11">
        <v>10</v>
      </c>
      <c r="D165" s="11">
        <v>585.44468094717604</v>
      </c>
      <c r="E165" s="11">
        <v>10</v>
      </c>
      <c r="F165" s="11">
        <v>577.42963570524398</v>
      </c>
    </row>
    <row r="166" spans="3:6" x14ac:dyDescent="0.25">
      <c r="C166" s="11">
        <v>10.5</v>
      </c>
      <c r="D166" s="11">
        <v>613.42281504730704</v>
      </c>
      <c r="E166" s="11">
        <v>10.5</v>
      </c>
      <c r="F166" s="11">
        <v>604.94329518392897</v>
      </c>
    </row>
    <row r="167" spans="3:6" x14ac:dyDescent="0.25">
      <c r="C167" s="11">
        <v>11</v>
      </c>
      <c r="D167" s="11">
        <v>641.19249363742301</v>
      </c>
      <c r="E167" s="11">
        <v>11</v>
      </c>
      <c r="F167" s="11">
        <v>632.27563904246495</v>
      </c>
    </row>
    <row r="168" spans="3:6" x14ac:dyDescent="0.25">
      <c r="C168" s="11">
        <v>11.5</v>
      </c>
      <c r="D168" s="11">
        <v>668.77394629247999</v>
      </c>
      <c r="E168" s="11">
        <v>11.5</v>
      </c>
      <c r="F168" s="11">
        <v>659.40589729528699</v>
      </c>
    </row>
    <row r="169" spans="3:6" x14ac:dyDescent="0.25">
      <c r="C169" s="11">
        <v>12</v>
      </c>
      <c r="D169" s="11">
        <v>696.09666223595605</v>
      </c>
      <c r="E169" s="11">
        <v>12</v>
      </c>
      <c r="F169" s="11">
        <v>686.28549339393805</v>
      </c>
    </row>
    <row r="170" spans="3:6" x14ac:dyDescent="0.25">
      <c r="C170" s="11">
        <v>12.5</v>
      </c>
      <c r="D170" s="11">
        <v>723.15838885093103</v>
      </c>
      <c r="E170" s="11">
        <v>12.5</v>
      </c>
      <c r="F170" s="11">
        <v>712.90791853348003</v>
      </c>
    </row>
    <row r="171" spans="3:6" x14ac:dyDescent="0.25">
      <c r="C171" s="11">
        <v>13</v>
      </c>
      <c r="D171" s="11">
        <v>749.99840426498497</v>
      </c>
      <c r="E171" s="11">
        <v>13</v>
      </c>
      <c r="F171" s="11">
        <v>739.24629654036903</v>
      </c>
    </row>
    <row r="172" spans="3:6" x14ac:dyDescent="0.25">
      <c r="C172" s="11">
        <v>13.5</v>
      </c>
      <c r="D172" s="11">
        <v>776.576434313052</v>
      </c>
      <c r="E172" s="11">
        <v>13.5</v>
      </c>
      <c r="F172" s="11">
        <v>765.33905695198905</v>
      </c>
    </row>
    <row r="173" spans="3:6" x14ac:dyDescent="0.25">
      <c r="C173" s="11">
        <v>14</v>
      </c>
      <c r="D173" s="11">
        <v>802.87944224073101</v>
      </c>
      <c r="E173" s="11">
        <v>14</v>
      </c>
      <c r="F173" s="11">
        <v>791.16591185129698</v>
      </c>
    </row>
    <row r="174" spans="3:6" x14ac:dyDescent="0.25">
      <c r="C174" s="11">
        <v>14.5</v>
      </c>
      <c r="D174" s="11">
        <v>828.89487734100396</v>
      </c>
      <c r="E174" s="11">
        <v>14.5</v>
      </c>
      <c r="F174" s="11">
        <v>816.69193343766904</v>
      </c>
    </row>
    <row r="175" spans="3:6" x14ac:dyDescent="0.25">
      <c r="C175" s="11">
        <v>15</v>
      </c>
      <c r="D175" s="11">
        <v>854.649706535326</v>
      </c>
      <c r="E175" s="11">
        <v>15</v>
      </c>
      <c r="F175" s="11">
        <v>841.91635435867397</v>
      </c>
    </row>
    <row r="176" spans="3:6" x14ac:dyDescent="0.25">
      <c r="C176" s="11">
        <v>15.5</v>
      </c>
      <c r="D176" s="11">
        <v>880.11337166749604</v>
      </c>
      <c r="E176" s="11">
        <v>15.5</v>
      </c>
      <c r="F176" s="11">
        <v>866.80973353815602</v>
      </c>
    </row>
    <row r="177" spans="3:6" x14ac:dyDescent="0.25">
      <c r="C177" s="11">
        <v>16</v>
      </c>
      <c r="D177" s="11">
        <v>905.28501691594397</v>
      </c>
      <c r="E177" s="11">
        <v>16</v>
      </c>
      <c r="F177" s="11">
        <v>891.38880547190399</v>
      </c>
    </row>
    <row r="178" spans="3:6" x14ac:dyDescent="0.25">
      <c r="C178" s="11">
        <v>16.5</v>
      </c>
      <c r="D178" s="11">
        <v>930.11007994383795</v>
      </c>
      <c r="E178" s="11">
        <v>16.5</v>
      </c>
      <c r="F178" s="11">
        <v>915.647605813003</v>
      </c>
    </row>
    <row r="179" spans="3:6" x14ac:dyDescent="0.25">
      <c r="C179" s="11">
        <v>17</v>
      </c>
      <c r="D179" s="11">
        <v>954.57687344860403</v>
      </c>
      <c r="E179" s="11">
        <v>17</v>
      </c>
      <c r="F179" s="11">
        <v>939.51211872013596</v>
      </c>
    </row>
    <row r="180" spans="3:6" x14ac:dyDescent="0.25">
      <c r="C180" s="11">
        <v>17.5</v>
      </c>
      <c r="D180" s="11">
        <v>978.72452924989705</v>
      </c>
      <c r="E180" s="11">
        <v>17.5</v>
      </c>
      <c r="F180" s="11">
        <v>962.980691179269</v>
      </c>
    </row>
    <row r="181" spans="3:6" x14ac:dyDescent="0.25">
      <c r="C181" s="11">
        <v>18</v>
      </c>
      <c r="D181" s="11">
        <v>1002.51735407717</v>
      </c>
      <c r="E181" s="11">
        <v>18</v>
      </c>
      <c r="F181" s="11">
        <v>986.07742487697101</v>
      </c>
    </row>
    <row r="182" spans="3:6" x14ac:dyDescent="0.25">
      <c r="C182" s="11">
        <v>18.5</v>
      </c>
      <c r="D182" s="11">
        <v>1025.95445431743</v>
      </c>
      <c r="E182" s="11">
        <v>18.5</v>
      </c>
      <c r="F182" s="11">
        <v>1008.8331894527799</v>
      </c>
    </row>
    <row r="183" spans="3:6" x14ac:dyDescent="0.25">
      <c r="C183" s="11">
        <v>19</v>
      </c>
      <c r="D183" s="11">
        <v>1049.00126164008</v>
      </c>
      <c r="E183" s="11">
        <v>19</v>
      </c>
      <c r="F183" s="11">
        <v>1031.1905375993599</v>
      </c>
    </row>
    <row r="184" spans="3:6" x14ac:dyDescent="0.25">
      <c r="C184" s="11">
        <v>19.5</v>
      </c>
      <c r="D184" s="11">
        <v>1071.6653000824899</v>
      </c>
      <c r="E184" s="11">
        <v>19.5</v>
      </c>
      <c r="F184" s="11">
        <v>1053.15719537934</v>
      </c>
    </row>
    <row r="185" spans="3:6" x14ac:dyDescent="0.25">
      <c r="C185" s="11">
        <v>20</v>
      </c>
      <c r="D185" s="11">
        <v>1093.93229669568</v>
      </c>
      <c r="E185" s="11">
        <v>20</v>
      </c>
      <c r="F185" s="11">
        <v>1074.7244880513599</v>
      </c>
    </row>
    <row r="186" spans="3:6" x14ac:dyDescent="0.25">
      <c r="C186" s="11">
        <v>19.5</v>
      </c>
      <c r="D186" s="11">
        <v>1066.0048930959499</v>
      </c>
      <c r="E186" s="11">
        <v>19.5</v>
      </c>
      <c r="F186" s="11">
        <v>1047.59873835383</v>
      </c>
    </row>
    <row r="187" spans="3:6" x14ac:dyDescent="0.25">
      <c r="C187" s="11">
        <v>19</v>
      </c>
      <c r="D187" s="11">
        <v>1038.0779425696201</v>
      </c>
      <c r="E187" s="11">
        <v>19</v>
      </c>
      <c r="F187" s="11">
        <v>1020.46253590186</v>
      </c>
    </row>
    <row r="188" spans="3:6" x14ac:dyDescent="0.25">
      <c r="C188" s="11">
        <v>18.5</v>
      </c>
      <c r="D188" s="11">
        <v>1010.15144431867</v>
      </c>
      <c r="E188" s="11">
        <v>18.5</v>
      </c>
      <c r="F188" s="11">
        <v>993.31342926719105</v>
      </c>
    </row>
    <row r="189" spans="3:6" x14ac:dyDescent="0.25">
      <c r="C189" s="11">
        <v>18</v>
      </c>
      <c r="D189" s="11">
        <v>982.22539056659195</v>
      </c>
      <c r="E189" s="11">
        <v>18</v>
      </c>
      <c r="F189" s="11">
        <v>966.15333004813897</v>
      </c>
    </row>
    <row r="190" spans="3:6" x14ac:dyDescent="0.25">
      <c r="C190" s="11">
        <v>17.5</v>
      </c>
      <c r="D190" s="11">
        <v>954.29977591114198</v>
      </c>
      <c r="E190" s="11">
        <v>17.5</v>
      </c>
      <c r="F190" s="11">
        <v>938.98256899441401</v>
      </c>
    </row>
    <row r="191" spans="3:6" x14ac:dyDescent="0.25">
      <c r="C191" s="11">
        <v>17</v>
      </c>
      <c r="D191" s="11">
        <v>926.37466778341695</v>
      </c>
      <c r="E191" s="11">
        <v>17</v>
      </c>
      <c r="F191" s="11">
        <v>911.79620808091897</v>
      </c>
    </row>
    <row r="192" spans="3:6" x14ac:dyDescent="0.25">
      <c r="C192" s="11">
        <v>16.5</v>
      </c>
      <c r="D192" s="11">
        <v>898.450100571402</v>
      </c>
      <c r="E192" s="11">
        <v>16.5</v>
      </c>
      <c r="F192" s="11">
        <v>884.59544358628102</v>
      </c>
    </row>
    <row r="193" spans="3:6" x14ac:dyDescent="0.25">
      <c r="C193" s="11">
        <v>16</v>
      </c>
      <c r="D193" s="11">
        <v>870.5261855361</v>
      </c>
      <c r="E193" s="11">
        <v>16</v>
      </c>
      <c r="F193" s="11">
        <v>857.38278844634203</v>
      </c>
    </row>
    <row r="194" spans="3:6" x14ac:dyDescent="0.25">
      <c r="C194" s="11">
        <v>15.5</v>
      </c>
      <c r="D194" s="11">
        <v>842.60287253852596</v>
      </c>
      <c r="E194" s="11">
        <v>15.5</v>
      </c>
      <c r="F194" s="11">
        <v>830.15550155735298</v>
      </c>
    </row>
    <row r="195" spans="3:6" x14ac:dyDescent="0.25">
      <c r="C195" s="11">
        <v>15</v>
      </c>
      <c r="D195" s="11">
        <v>814.68018916050301</v>
      </c>
      <c r="E195" s="11">
        <v>15</v>
      </c>
      <c r="F195" s="11">
        <v>802.91176306693603</v>
      </c>
    </row>
    <row r="196" spans="3:6" x14ac:dyDescent="0.25">
      <c r="C196" s="11">
        <v>14.5</v>
      </c>
      <c r="D196" s="11">
        <v>786.75825779196396</v>
      </c>
      <c r="E196" s="11">
        <v>14.5</v>
      </c>
      <c r="F196" s="11">
        <v>775.65294985525497</v>
      </c>
    </row>
    <row r="197" spans="3:6" x14ac:dyDescent="0.25">
      <c r="C197" s="11">
        <v>14</v>
      </c>
      <c r="D197" s="11">
        <v>758.83724814642596</v>
      </c>
      <c r="E197" s="11">
        <v>14</v>
      </c>
      <c r="F197" s="11">
        <v>748.37850020381904</v>
      </c>
    </row>
    <row r="198" spans="3:6" x14ac:dyDescent="0.25">
      <c r="C198" s="11">
        <v>13.5</v>
      </c>
      <c r="D198" s="11">
        <v>730.91714832861896</v>
      </c>
      <c r="E198" s="11">
        <v>13.5</v>
      </c>
      <c r="F198" s="11">
        <v>721.09257472719105</v>
      </c>
    </row>
    <row r="199" spans="3:6" x14ac:dyDescent="0.25">
      <c r="C199" s="11">
        <v>13</v>
      </c>
      <c r="D199" s="11">
        <v>702.99808163745104</v>
      </c>
      <c r="E199" s="11">
        <v>13</v>
      </c>
      <c r="F199" s="11">
        <v>693.78874939107698</v>
      </c>
    </row>
    <row r="200" spans="3:6" x14ac:dyDescent="0.25">
      <c r="C200" s="11">
        <v>12.5</v>
      </c>
      <c r="D200" s="11">
        <v>675.08007614701296</v>
      </c>
      <c r="E200" s="11">
        <v>12.5</v>
      </c>
      <c r="F200" s="11">
        <v>666.467514399376</v>
      </c>
    </row>
    <row r="201" spans="3:6" x14ac:dyDescent="0.25">
      <c r="C201" s="11">
        <v>12</v>
      </c>
      <c r="D201" s="11">
        <v>647.163251907931</v>
      </c>
      <c r="E201" s="11">
        <v>12</v>
      </c>
      <c r="F201" s="11">
        <v>639.13100617193095</v>
      </c>
    </row>
    <row r="202" spans="3:6" x14ac:dyDescent="0.25">
      <c r="C202" s="11">
        <v>11.5</v>
      </c>
      <c r="D202" s="11">
        <v>619.24764642648699</v>
      </c>
      <c r="E202" s="11">
        <v>11.5</v>
      </c>
      <c r="F202" s="11">
        <v>611.77798286594202</v>
      </c>
    </row>
    <row r="203" spans="3:6" x14ac:dyDescent="0.25">
      <c r="C203" s="11">
        <v>11</v>
      </c>
      <c r="D203" s="11">
        <v>591.33342486983395</v>
      </c>
      <c r="E203" s="11">
        <v>11</v>
      </c>
      <c r="F203" s="11">
        <v>584.412720992902</v>
      </c>
    </row>
    <row r="204" spans="3:6" x14ac:dyDescent="0.25">
      <c r="C204" s="11">
        <v>10.5</v>
      </c>
      <c r="D204" s="11">
        <v>563.42040455951098</v>
      </c>
      <c r="E204" s="11">
        <v>10.5</v>
      </c>
      <c r="F204" s="11">
        <v>557.03113470872495</v>
      </c>
    </row>
    <row r="205" spans="3:6" x14ac:dyDescent="0.25">
      <c r="C205" s="11">
        <v>10</v>
      </c>
      <c r="D205" s="11">
        <v>535.508825961924</v>
      </c>
      <c r="E205" s="11">
        <v>10</v>
      </c>
      <c r="F205" s="11">
        <v>529.62609786271605</v>
      </c>
    </row>
    <row r="206" spans="3:6" x14ac:dyDescent="0.25">
      <c r="C206" s="11">
        <v>9.5</v>
      </c>
      <c r="D206" s="11">
        <v>507.59863659177199</v>
      </c>
      <c r="E206" s="11">
        <v>9.5</v>
      </c>
      <c r="F206" s="11">
        <v>502.203487344032</v>
      </c>
    </row>
    <row r="207" spans="3:6" x14ac:dyDescent="0.25">
      <c r="C207" s="11">
        <v>9</v>
      </c>
      <c r="D207" s="11">
        <v>479.68978561017099</v>
      </c>
      <c r="E207" s="11">
        <v>9</v>
      </c>
      <c r="F207" s="11">
        <v>474.766116010757</v>
      </c>
    </row>
    <row r="208" spans="3:6" x14ac:dyDescent="0.25">
      <c r="C208" s="11">
        <v>8.5</v>
      </c>
      <c r="D208" s="11">
        <v>451.78387851416102</v>
      </c>
      <c r="E208" s="11">
        <v>8.5</v>
      </c>
      <c r="F208" s="11">
        <v>447.30324062289498</v>
      </c>
    </row>
    <row r="209" spans="3:6" x14ac:dyDescent="0.25">
      <c r="C209" s="11">
        <v>8</v>
      </c>
      <c r="D209" s="11">
        <v>423.878878498642</v>
      </c>
      <c r="E209" s="11">
        <v>8</v>
      </c>
      <c r="F209" s="11">
        <v>419.82098832447201</v>
      </c>
    </row>
    <row r="210" spans="3:6" x14ac:dyDescent="0.25">
      <c r="C210" s="11">
        <v>7.5</v>
      </c>
      <c r="D210" s="11">
        <v>395.97613637213999</v>
      </c>
      <c r="E210" s="11">
        <v>7.5</v>
      </c>
      <c r="F210" s="11">
        <v>392.31864820575299</v>
      </c>
    </row>
    <row r="211" spans="3:6" x14ac:dyDescent="0.25">
      <c r="C211" s="11">
        <v>7</v>
      </c>
      <c r="D211" s="11">
        <v>368.07611673680998</v>
      </c>
      <c r="E211" s="11">
        <v>7</v>
      </c>
      <c r="F211" s="11">
        <v>364.793748379958</v>
      </c>
    </row>
    <row r="212" spans="3:6" x14ac:dyDescent="0.25">
      <c r="C212" s="11">
        <v>6.5</v>
      </c>
      <c r="D212" s="11">
        <v>340.17866322741202</v>
      </c>
      <c r="E212" s="11">
        <v>6.5</v>
      </c>
      <c r="F212" s="11">
        <v>337.24352912238697</v>
      </c>
    </row>
    <row r="213" spans="3:6" x14ac:dyDescent="0.25">
      <c r="C213" s="11">
        <v>6</v>
      </c>
      <c r="D213" s="11">
        <v>312.27887258389501</v>
      </c>
      <c r="E213" s="11">
        <v>6</v>
      </c>
      <c r="F213" s="11">
        <v>309.66911969160299</v>
      </c>
    </row>
    <row r="214" spans="3:6" x14ac:dyDescent="0.25">
      <c r="C214" s="11">
        <v>5.5</v>
      </c>
      <c r="D214" s="11">
        <v>284.38791020036302</v>
      </c>
      <c r="E214" s="11">
        <v>5.5</v>
      </c>
      <c r="F214" s="11">
        <v>282.08105162659501</v>
      </c>
    </row>
    <row r="215" spans="3:6" x14ac:dyDescent="0.25">
      <c r="C215" s="11">
        <v>5</v>
      </c>
      <c r="D215" s="11">
        <v>256.51827813480099</v>
      </c>
      <c r="E215" s="11">
        <v>5</v>
      </c>
      <c r="F215" s="11">
        <v>254.47982173714999</v>
      </c>
    </row>
    <row r="216" spans="3:6" x14ac:dyDescent="0.25">
      <c r="C216" s="11">
        <v>4.5</v>
      </c>
      <c r="D216" s="11">
        <v>228.668617831962</v>
      </c>
      <c r="E216" s="11">
        <v>4.5</v>
      </c>
      <c r="F216" s="11">
        <v>226.88584018734599</v>
      </c>
    </row>
    <row r="217" spans="3:6" x14ac:dyDescent="0.25">
      <c r="C217" s="11">
        <v>4</v>
      </c>
      <c r="D217" s="11">
        <v>200.85697103872701</v>
      </c>
      <c r="E217" s="11">
        <v>4</v>
      </c>
      <c r="F217" s="11">
        <v>199.29981423922001</v>
      </c>
    </row>
    <row r="218" spans="3:6" x14ac:dyDescent="0.25">
      <c r="C218" s="11">
        <v>3.5</v>
      </c>
      <c r="D218" s="11">
        <v>173.06485404704799</v>
      </c>
      <c r="E218" s="11">
        <v>3.5</v>
      </c>
      <c r="F218" s="11">
        <v>171.70517104554</v>
      </c>
    </row>
    <row r="219" spans="3:6" x14ac:dyDescent="0.25">
      <c r="C219" s="11">
        <v>3</v>
      </c>
      <c r="D219" s="11">
        <v>145.29861228748999</v>
      </c>
      <c r="E219" s="11">
        <v>3</v>
      </c>
      <c r="F219" s="11">
        <v>144.124151910884</v>
      </c>
    </row>
    <row r="220" spans="3:6" x14ac:dyDescent="0.25">
      <c r="C220" s="11">
        <v>2.5</v>
      </c>
      <c r="D220" s="11">
        <v>117.557499543224</v>
      </c>
      <c r="E220" s="11">
        <v>2.5</v>
      </c>
      <c r="F220" s="11">
        <v>116.552907659971</v>
      </c>
    </row>
    <row r="221" spans="3:6" x14ac:dyDescent="0.25">
      <c r="C221" s="11">
        <v>2</v>
      </c>
      <c r="D221" s="11">
        <v>89.782595140292699</v>
      </c>
      <c r="E221" s="11">
        <v>2</v>
      </c>
      <c r="F221" s="11">
        <v>88.942879750693706</v>
      </c>
    </row>
    <row r="222" spans="3:6" x14ac:dyDescent="0.25">
      <c r="C222" s="11">
        <v>1.5</v>
      </c>
      <c r="D222" s="11">
        <v>61.897820787910497</v>
      </c>
      <c r="E222" s="11">
        <v>1.5</v>
      </c>
      <c r="F222" s="11">
        <v>61.220319365048603</v>
      </c>
    </row>
    <row r="223" spans="3:6" x14ac:dyDescent="0.25">
      <c r="C223" s="11">
        <v>1</v>
      </c>
      <c r="D223" s="11">
        <v>33.887290328682603</v>
      </c>
      <c r="E223" s="11">
        <v>1</v>
      </c>
      <c r="F223" s="11">
        <v>33.383439620872501</v>
      </c>
    </row>
    <row r="224" spans="3:6" x14ac:dyDescent="0.25">
      <c r="C224" s="11">
        <v>0.5</v>
      </c>
      <c r="D224" s="11">
        <v>5.8326258080668998</v>
      </c>
      <c r="E224" s="11">
        <v>0.5</v>
      </c>
      <c r="F224" s="11">
        <v>5.5259888823864403</v>
      </c>
    </row>
    <row r="225" spans="3:6" x14ac:dyDescent="0.25">
      <c r="C225" s="11">
        <v>0</v>
      </c>
      <c r="D225" s="11">
        <v>-22.112228467798001</v>
      </c>
      <c r="E225" s="11">
        <v>0</v>
      </c>
      <c r="F225" s="11">
        <v>-22.217383502546699</v>
      </c>
    </row>
    <row r="226" spans="3:6" x14ac:dyDescent="0.25">
      <c r="C226" s="11">
        <v>-0.5</v>
      </c>
      <c r="D226" s="11">
        <v>-50.021791221726502</v>
      </c>
      <c r="E226" s="11">
        <v>-0.5</v>
      </c>
      <c r="F226" s="11">
        <v>-49.894347544783798</v>
      </c>
    </row>
    <row r="227" spans="3:6" x14ac:dyDescent="0.25">
      <c r="C227" s="11">
        <v>-1</v>
      </c>
      <c r="D227" s="11">
        <v>-78.085664422218798</v>
      </c>
      <c r="E227" s="11">
        <v>-1</v>
      </c>
      <c r="F227" s="11">
        <v>-77.677754851512105</v>
      </c>
    </row>
    <row r="228" spans="3:6" x14ac:dyDescent="0.25">
      <c r="C228" s="11">
        <v>-1.5</v>
      </c>
      <c r="D228" s="11">
        <v>-106.435315751679</v>
      </c>
      <c r="E228" s="11">
        <v>-1.5</v>
      </c>
      <c r="F228" s="11">
        <v>-105.693971751986</v>
      </c>
    </row>
    <row r="229" spans="3:6" x14ac:dyDescent="0.25">
      <c r="C229" s="11">
        <v>-2</v>
      </c>
      <c r="D229" s="11">
        <v>-135.07969002211999</v>
      </c>
      <c r="E229" s="11">
        <v>-2</v>
      </c>
      <c r="F229" s="11">
        <v>-133.96356437010999</v>
      </c>
    </row>
    <row r="230" spans="3:6" x14ac:dyDescent="0.25">
      <c r="C230" s="11">
        <v>-2.5</v>
      </c>
      <c r="D230" s="11">
        <v>-163.91206905075299</v>
      </c>
      <c r="E230" s="11">
        <v>-2.5</v>
      </c>
      <c r="F230" s="11">
        <v>-162.422204570611</v>
      </c>
    </row>
    <row r="231" spans="3:6" x14ac:dyDescent="0.25">
      <c r="C231" s="11">
        <v>-3</v>
      </c>
      <c r="D231" s="11">
        <v>-192.90250397789899</v>
      </c>
      <c r="E231" s="11">
        <v>-3</v>
      </c>
      <c r="F231" s="11">
        <v>-191.00897481644901</v>
      </c>
    </row>
    <row r="232" spans="3:6" x14ac:dyDescent="0.25">
      <c r="C232" s="11">
        <v>-3.5</v>
      </c>
      <c r="D232" s="11">
        <v>-222.000441329247</v>
      </c>
      <c r="E232" s="11">
        <v>-3.5</v>
      </c>
      <c r="F232" s="11">
        <v>-219.70842192735401</v>
      </c>
    </row>
    <row r="233" spans="3:6" x14ac:dyDescent="0.25">
      <c r="C233" s="11">
        <v>-4</v>
      </c>
      <c r="D233" s="11">
        <v>-251.186277143193</v>
      </c>
      <c r="E233" s="11">
        <v>-4</v>
      </c>
      <c r="F233" s="11">
        <v>-248.48519107610599</v>
      </c>
    </row>
    <row r="234" spans="3:6" x14ac:dyDescent="0.25">
      <c r="C234" s="11">
        <v>-4.5</v>
      </c>
      <c r="D234" s="11">
        <v>-280.404160659436</v>
      </c>
      <c r="E234" s="11">
        <v>-4.5</v>
      </c>
      <c r="F234" s="11">
        <v>-277.30372825006299</v>
      </c>
    </row>
    <row r="235" spans="3:6" x14ac:dyDescent="0.25">
      <c r="C235" s="11">
        <v>-5</v>
      </c>
      <c r="D235" s="11">
        <v>-309.63153731024801</v>
      </c>
      <c r="E235" s="11">
        <v>-5</v>
      </c>
      <c r="F235" s="11">
        <v>-306.131802144034</v>
      </c>
    </row>
    <row r="236" spans="3:6" x14ac:dyDescent="0.25">
      <c r="C236" s="11">
        <v>-5.5</v>
      </c>
      <c r="D236" s="11">
        <v>-338.86978571025497</v>
      </c>
      <c r="E236" s="11">
        <v>-5.5</v>
      </c>
      <c r="F236" s="11">
        <v>-334.95807716101001</v>
      </c>
    </row>
    <row r="237" spans="3:6" x14ac:dyDescent="0.25">
      <c r="C237" s="11">
        <v>-6</v>
      </c>
      <c r="D237" s="11">
        <v>-368.11702352256998</v>
      </c>
      <c r="E237" s="11">
        <v>-6</v>
      </c>
      <c r="F237" s="11">
        <v>-363.79437366743599</v>
      </c>
    </row>
    <row r="238" spans="3:6" x14ac:dyDescent="0.25">
      <c r="C238" s="11">
        <v>-6.5</v>
      </c>
      <c r="D238" s="11">
        <v>-397.36971763851</v>
      </c>
      <c r="E238" s="11">
        <v>-6.5</v>
      </c>
      <c r="F238" s="11">
        <v>-392.62255700025702</v>
      </c>
    </row>
    <row r="239" spans="3:6" x14ac:dyDescent="0.25">
      <c r="C239" s="11">
        <v>-7</v>
      </c>
      <c r="D239" s="11">
        <v>-426.63876808425601</v>
      </c>
      <c r="E239" s="11">
        <v>-7</v>
      </c>
      <c r="F239" s="11">
        <v>-421.43143435125103</v>
      </c>
    </row>
    <row r="240" spans="3:6" x14ac:dyDescent="0.25">
      <c r="C240" s="11">
        <v>-7.5</v>
      </c>
      <c r="D240" s="11">
        <v>-455.83794811199601</v>
      </c>
      <c r="E240" s="11">
        <v>-7.5</v>
      </c>
      <c r="F240" s="11">
        <v>-450.18607903840098</v>
      </c>
    </row>
    <row r="241" spans="3:6" x14ac:dyDescent="0.25">
      <c r="C241" s="11">
        <v>-8</v>
      </c>
      <c r="D241" s="11">
        <v>-484.64926486282201</v>
      </c>
      <c r="E241" s="11">
        <v>-8</v>
      </c>
      <c r="F241" s="11">
        <v>-478.534648180158</v>
      </c>
    </row>
    <row r="242" spans="3:6" x14ac:dyDescent="0.25">
      <c r="C242" s="11">
        <v>-8.5</v>
      </c>
      <c r="D242" s="11">
        <v>-512.97927423412705</v>
      </c>
      <c r="E242" s="11">
        <v>-8.5</v>
      </c>
      <c r="F242" s="11">
        <v>-506.43398054447601</v>
      </c>
    </row>
    <row r="243" spans="3:6" x14ac:dyDescent="0.25">
      <c r="C243" s="11">
        <v>-9</v>
      </c>
      <c r="D243" s="11">
        <v>-541.16520005383904</v>
      </c>
      <c r="E243" s="11">
        <v>-9</v>
      </c>
      <c r="F243" s="11">
        <v>-534.18147959353098</v>
      </c>
    </row>
    <row r="244" spans="3:6" x14ac:dyDescent="0.25">
      <c r="C244" s="11">
        <v>-9.5</v>
      </c>
      <c r="D244" s="11">
        <v>-569.19995448521797</v>
      </c>
      <c r="E244" s="11">
        <v>-9.5</v>
      </c>
      <c r="F244" s="11">
        <v>-561.77989077581606</v>
      </c>
    </row>
    <row r="245" spans="3:6" x14ac:dyDescent="0.25">
      <c r="C245" s="11">
        <v>-10</v>
      </c>
      <c r="D245" s="11">
        <v>-597.05088567003997</v>
      </c>
      <c r="E245" s="11">
        <v>-10</v>
      </c>
      <c r="F245" s="11">
        <v>-589.19366305971096</v>
      </c>
    </row>
    <row r="246" spans="3:6" x14ac:dyDescent="0.25">
      <c r="C246" s="11">
        <v>-10.5</v>
      </c>
      <c r="D246" s="11">
        <v>-624.68319842352003</v>
      </c>
      <c r="E246" s="11">
        <v>-10.5</v>
      </c>
      <c r="F246" s="11">
        <v>-616.40036405703495</v>
      </c>
    </row>
    <row r="247" spans="3:6" x14ac:dyDescent="0.25">
      <c r="C247" s="11">
        <v>-11</v>
      </c>
      <c r="D247" s="11">
        <v>-652.13374880732601</v>
      </c>
      <c r="E247" s="11">
        <v>-11</v>
      </c>
      <c r="F247" s="11">
        <v>-643.40469430677399</v>
      </c>
    </row>
    <row r="248" spans="3:6" x14ac:dyDescent="0.25">
      <c r="C248" s="11">
        <v>-11.5</v>
      </c>
      <c r="D248" s="11">
        <v>-679.35877496305204</v>
      </c>
      <c r="E248" s="11">
        <v>-11.5</v>
      </c>
      <c r="F248" s="11">
        <v>-670.18289158057803</v>
      </c>
    </row>
    <row r="249" spans="3:6" x14ac:dyDescent="0.25">
      <c r="C249" s="11">
        <v>-12</v>
      </c>
      <c r="D249" s="11">
        <v>-706.32920679228005</v>
      </c>
      <c r="E249" s="11">
        <v>-12</v>
      </c>
      <c r="F249" s="11">
        <v>-696.72592147319199</v>
      </c>
    </row>
    <row r="250" spans="3:6" x14ac:dyDescent="0.25">
      <c r="C250" s="11">
        <v>-12.5</v>
      </c>
      <c r="D250" s="11">
        <v>-733.082229289152</v>
      </c>
      <c r="E250" s="11">
        <v>-12.5</v>
      </c>
      <c r="F250" s="11">
        <v>-723.03558111463599</v>
      </c>
    </row>
    <row r="251" spans="3:6" x14ac:dyDescent="0.25">
      <c r="C251" s="11">
        <v>-13</v>
      </c>
      <c r="D251" s="11">
        <v>-759.61163529614305</v>
      </c>
      <c r="E251" s="11">
        <v>-13</v>
      </c>
      <c r="F251" s="11">
        <v>-749.12140292005404</v>
      </c>
    </row>
    <row r="252" spans="3:6" x14ac:dyDescent="0.25">
      <c r="C252" s="11">
        <v>-13.5</v>
      </c>
      <c r="D252" s="11">
        <v>-785.89917300675302</v>
      </c>
      <c r="E252" s="11">
        <v>-13.5</v>
      </c>
      <c r="F252" s="11">
        <v>-774.95958739322805</v>
      </c>
    </row>
    <row r="253" spans="3:6" x14ac:dyDescent="0.25">
      <c r="C253" s="11">
        <v>-14</v>
      </c>
      <c r="D253" s="11">
        <v>-811.92084896774895</v>
      </c>
      <c r="E253" s="11">
        <v>-14</v>
      </c>
      <c r="F253" s="11">
        <v>-800.50834494045</v>
      </c>
    </row>
    <row r="254" spans="3:6" x14ac:dyDescent="0.25">
      <c r="C254" s="11">
        <v>-14.5</v>
      </c>
      <c r="D254" s="11">
        <v>-837.672015514029</v>
      </c>
      <c r="E254" s="11">
        <v>-14.5</v>
      </c>
      <c r="F254" s="11">
        <v>-825.76987400085602</v>
      </c>
    </row>
    <row r="255" spans="3:6" x14ac:dyDescent="0.25">
      <c r="C255" s="11">
        <v>-15</v>
      </c>
      <c r="D255" s="11">
        <v>-863.14616006335996</v>
      </c>
      <c r="E255" s="11">
        <v>-15</v>
      </c>
      <c r="F255" s="11">
        <v>-850.71162358738798</v>
      </c>
    </row>
    <row r="256" spans="3:6" x14ac:dyDescent="0.25">
      <c r="C256" s="11">
        <v>-15.5</v>
      </c>
      <c r="D256" s="11">
        <v>-888.34785685829604</v>
      </c>
      <c r="E256" s="11">
        <v>-15.5</v>
      </c>
      <c r="F256" s="11">
        <v>-875.36308992066597</v>
      </c>
    </row>
    <row r="257" spans="3:6" x14ac:dyDescent="0.25">
      <c r="C257" s="11">
        <v>-16</v>
      </c>
      <c r="D257" s="11">
        <v>-913.20969500968897</v>
      </c>
      <c r="E257" s="11">
        <v>-16</v>
      </c>
      <c r="F257" s="11">
        <v>-899.68710766073002</v>
      </c>
    </row>
    <row r="258" spans="3:6" x14ac:dyDescent="0.25">
      <c r="C258" s="11">
        <v>-16.5</v>
      </c>
      <c r="D258" s="11">
        <v>-937.68370533651296</v>
      </c>
      <c r="E258" s="11">
        <v>-16.5</v>
      </c>
      <c r="F258" s="11">
        <v>-923.63230644693101</v>
      </c>
    </row>
    <row r="259" spans="3:6" x14ac:dyDescent="0.25">
      <c r="C259" s="11">
        <v>-17</v>
      </c>
      <c r="D259" s="11">
        <v>-961.83859257008703</v>
      </c>
      <c r="E259" s="11">
        <v>-17</v>
      </c>
      <c r="F259" s="11">
        <v>-947.16884521731799</v>
      </c>
    </row>
    <row r="260" spans="3:6" x14ac:dyDescent="0.25">
      <c r="C260" s="11">
        <v>-17.5</v>
      </c>
      <c r="D260" s="11">
        <v>-985.66656248830895</v>
      </c>
      <c r="E260" s="11">
        <v>-17.5</v>
      </c>
      <c r="F260" s="11">
        <v>-970.34116730969799</v>
      </c>
    </row>
    <row r="261" spans="3:6" x14ac:dyDescent="0.25">
      <c r="C261" s="11">
        <v>-18</v>
      </c>
      <c r="D261" s="11">
        <v>-1009.1228777794699</v>
      </c>
      <c r="E261" s="11">
        <v>-18</v>
      </c>
      <c r="F261" s="11">
        <v>-993.174046196944</v>
      </c>
    </row>
    <row r="262" spans="3:6" x14ac:dyDescent="0.25">
      <c r="C262" s="11">
        <v>-18.5</v>
      </c>
      <c r="D262" s="11">
        <v>-1032.2228158509799</v>
      </c>
      <c r="E262" s="11">
        <v>-18.5</v>
      </c>
      <c r="F262" s="11">
        <v>-1015.59444726026</v>
      </c>
    </row>
    <row r="263" spans="3:6" x14ac:dyDescent="0.25">
      <c r="C263" s="11">
        <v>-19</v>
      </c>
      <c r="D263" s="11">
        <v>-1054.9816048099699</v>
      </c>
      <c r="E263" s="11">
        <v>-19</v>
      </c>
      <c r="F263" s="11">
        <v>-1037.66442732261</v>
      </c>
    </row>
    <row r="264" spans="3:6" x14ac:dyDescent="0.25">
      <c r="C264" s="11">
        <v>-19.5</v>
      </c>
      <c r="D264" s="11">
        <v>-1077.3492723025499</v>
      </c>
      <c r="E264" s="11">
        <v>-19.5</v>
      </c>
      <c r="F264" s="11">
        <v>-1059.37493333323</v>
      </c>
    </row>
    <row r="265" spans="3:6" x14ac:dyDescent="0.25">
      <c r="C265" s="11">
        <v>-20</v>
      </c>
      <c r="D265" s="11">
        <v>-1099.41943540948</v>
      </c>
      <c r="E265" s="11">
        <v>-20</v>
      </c>
      <c r="F265" s="11">
        <v>-1080.69930146043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defaultColWidth="8.7109375" defaultRowHeight="15" x14ac:dyDescent="0.25"/>
  <cols>
    <col min="1" max="8" width="20" customWidth="1"/>
  </cols>
  <sheetData>
    <row r="1" spans="1:8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x14ac:dyDescent="0.25">
      <c r="A2" s="11">
        <v>-4</v>
      </c>
      <c r="B2" s="11">
        <v>-339.20850319206897</v>
      </c>
      <c r="C2" s="11">
        <v>-20</v>
      </c>
      <c r="D2" s="11">
        <v>-1099.41943540948</v>
      </c>
      <c r="E2" s="11">
        <v>-20</v>
      </c>
      <c r="F2" s="11">
        <v>-1080.69930146043</v>
      </c>
      <c r="G2" s="11">
        <v>-4</v>
      </c>
      <c r="H2" s="11">
        <v>-230.41421651542001</v>
      </c>
    </row>
    <row r="3" spans="1:8" x14ac:dyDescent="0.25">
      <c r="A3" s="11">
        <v>-4</v>
      </c>
      <c r="B3" s="11">
        <v>-339.22291565629098</v>
      </c>
      <c r="C3" s="11">
        <v>-8</v>
      </c>
      <c r="D3" s="11">
        <v>-471.79600431509698</v>
      </c>
      <c r="E3" s="11">
        <v>-8</v>
      </c>
      <c r="F3" s="11">
        <v>-465.60494743803099</v>
      </c>
      <c r="G3" s="11">
        <v>4</v>
      </c>
      <c r="H3" s="11">
        <v>228.08023596001499</v>
      </c>
    </row>
    <row r="4" spans="1:8" x14ac:dyDescent="0.25">
      <c r="A4" s="11">
        <v>-4</v>
      </c>
      <c r="B4" s="11">
        <v>-339.22291722950598</v>
      </c>
      <c r="C4" s="11">
        <v>-2</v>
      </c>
      <c r="D4" s="11">
        <v>-118.408930830722</v>
      </c>
      <c r="E4" s="11">
        <v>-2</v>
      </c>
      <c r="F4" s="11">
        <v>-116.913513595493</v>
      </c>
    </row>
    <row r="5" spans="1:8" x14ac:dyDescent="0.25">
      <c r="A5" s="11">
        <v>4</v>
      </c>
      <c r="B5" s="11">
        <v>336.78412972437502</v>
      </c>
      <c r="C5" s="11">
        <v>2</v>
      </c>
      <c r="D5" s="11">
        <v>117.437942878884</v>
      </c>
      <c r="E5" s="11">
        <v>2</v>
      </c>
      <c r="F5" s="11">
        <v>115.894062803845</v>
      </c>
    </row>
    <row r="6" spans="1:8" x14ac:dyDescent="0.25">
      <c r="A6" s="11">
        <v>4</v>
      </c>
      <c r="B6" s="11">
        <v>339.21364964679702</v>
      </c>
      <c r="C6" s="11">
        <v>8</v>
      </c>
      <c r="D6" s="11">
        <v>467.85105389715397</v>
      </c>
      <c r="E6" s="11">
        <v>8</v>
      </c>
      <c r="F6" s="11">
        <v>461.53523462496702</v>
      </c>
    </row>
    <row r="7" spans="1:8" x14ac:dyDescent="0.25">
      <c r="A7" s="11">
        <v>4</v>
      </c>
      <c r="B7" s="11">
        <v>339.21380802135599</v>
      </c>
      <c r="C7" s="11">
        <v>20</v>
      </c>
      <c r="D7" s="11">
        <v>1093.93229669568</v>
      </c>
      <c r="E7" s="11">
        <v>20</v>
      </c>
      <c r="F7" s="11">
        <v>1074.7244880513599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opLeftCell="E1" zoomScaleNormal="100" workbookViewId="0"/>
  </sheetViews>
  <sheetFormatPr defaultColWidth="8.7109375" defaultRowHeight="15" x14ac:dyDescent="0.25"/>
  <cols>
    <col min="1" max="8" width="22" customWidth="1"/>
  </cols>
  <sheetData>
    <row r="1" spans="1:8" x14ac:dyDescent="0.25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 x14ac:dyDescent="0.25">
      <c r="A2">
        <v>4</v>
      </c>
      <c r="B2">
        <v>84.196032431093698</v>
      </c>
      <c r="C2">
        <v>2</v>
      </c>
      <c r="D2">
        <v>58.718971439441802</v>
      </c>
      <c r="E2">
        <v>2</v>
      </c>
      <c r="F2">
        <v>57.947031401922203</v>
      </c>
      <c r="G2">
        <v>4</v>
      </c>
      <c r="H2">
        <v>57.020058990003797</v>
      </c>
    </row>
    <row r="3" spans="1:8" x14ac:dyDescent="0.25">
      <c r="A3">
        <v>4</v>
      </c>
      <c r="B3">
        <v>84.803412411699298</v>
      </c>
      <c r="C3">
        <v>8</v>
      </c>
      <c r="D3">
        <v>58.481381737144197</v>
      </c>
      <c r="E3">
        <v>8</v>
      </c>
      <c r="F3">
        <v>57.691904328120899</v>
      </c>
    </row>
    <row r="4" spans="1:8" x14ac:dyDescent="0.25">
      <c r="A4">
        <v>4</v>
      </c>
      <c r="B4">
        <v>84.803452005338897</v>
      </c>
      <c r="C4">
        <v>20</v>
      </c>
      <c r="D4">
        <v>54.696614834784199</v>
      </c>
      <c r="E4">
        <v>20</v>
      </c>
      <c r="F4">
        <v>53.736224402567899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opLeftCell="E1" zoomScaleNormal="100" workbookViewId="0"/>
  </sheetViews>
  <sheetFormatPr defaultColWidth="8.7109375" defaultRowHeight="15" x14ac:dyDescent="0.25"/>
  <cols>
    <col min="1" max="8" width="22" customWidth="1"/>
  </cols>
  <sheetData>
    <row r="1" spans="1:8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 x14ac:dyDescent="0.25">
      <c r="A2">
        <v>4</v>
      </c>
      <c r="B2">
        <v>336.78412972437502</v>
      </c>
      <c r="C2">
        <v>2</v>
      </c>
      <c r="D2">
        <v>117.437942878884</v>
      </c>
      <c r="E2">
        <v>2</v>
      </c>
      <c r="F2">
        <v>115.894062803845</v>
      </c>
      <c r="G2">
        <v>4</v>
      </c>
      <c r="H2">
        <v>228.08023596001499</v>
      </c>
    </row>
    <row r="3" spans="1:8" x14ac:dyDescent="0.25">
      <c r="A3">
        <v>4</v>
      </c>
      <c r="B3">
        <v>339.21364964679702</v>
      </c>
      <c r="C3">
        <v>8</v>
      </c>
      <c r="D3">
        <v>467.85105389715397</v>
      </c>
      <c r="E3">
        <v>8</v>
      </c>
      <c r="F3">
        <v>461.53523462496702</v>
      </c>
    </row>
    <row r="4" spans="1:8" x14ac:dyDescent="0.25">
      <c r="A4">
        <v>4</v>
      </c>
      <c r="B4">
        <v>339.21380802135599</v>
      </c>
      <c r="C4">
        <v>20</v>
      </c>
      <c r="D4">
        <v>1093.93229669568</v>
      </c>
      <c r="E4">
        <v>20</v>
      </c>
      <c r="F4">
        <v>1074.7244880513599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Hysteresis</vt:lpstr>
      <vt:lpstr>Envelopes</vt:lpstr>
      <vt:lpstr>Stiffness</vt:lpstr>
      <vt:lpstr>CapacityCurve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Adil</cp:lastModifiedBy>
  <cp:revision>1</cp:revision>
  <dcterms:created xsi:type="dcterms:W3CDTF">2026-05-24T14:51:46Z</dcterms:created>
  <dcterms:modified xsi:type="dcterms:W3CDTF">2026-05-24T15:11:48Z</dcterms:modified>
  <dc:language>en-US</dc:language>
</cp:coreProperties>
</file>